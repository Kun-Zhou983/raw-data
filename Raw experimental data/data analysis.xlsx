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0-编辑-MG\000-编辑组项目\稿件\P项目\P1063_吴奕豪\P1063_代码\Raw experimental data\"/>
    </mc:Choice>
  </mc:AlternateContent>
  <xr:revisionPtr revIDLastSave="0" documentId="13_ncr:1_{DE8ADA12-6E30-4A96-A842-61089FA89255}" xr6:coauthVersionLast="47" xr6:coauthVersionMax="47" xr10:uidLastSave="{00000000-0000-0000-0000-000000000000}"/>
  <bookViews>
    <workbookView xWindow="-110" yWindow="-110" windowWidth="21820" windowHeight="13900" tabRatio="868" activeTab="5" xr2:uid="{00000000-000D-0000-FFFF-FFFF00000000}"/>
  </bookViews>
  <sheets>
    <sheet name="result_A" sheetId="14" r:id="rId1"/>
    <sheet name="raw data_A" sheetId="15" r:id="rId2"/>
    <sheet name="result_B" sheetId="19" r:id="rId3"/>
    <sheet name="raw data_B" sheetId="20" r:id="rId4"/>
    <sheet name="CCK8 result_C" sheetId="33" r:id="rId5"/>
    <sheet name="CCK8 raw data_C" sheetId="34" r:id="rId6"/>
    <sheet name="wound_D" sheetId="35" r:id="rId7"/>
    <sheet name="invasion_E" sheetId="3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5" l="1"/>
  <c r="H3" i="35"/>
  <c r="J2" i="35"/>
  <c r="H7" i="35" s="1"/>
  <c r="I7" i="35" s="1"/>
  <c r="H2" i="35"/>
  <c r="C2" i="35"/>
  <c r="C7" i="35" s="1"/>
  <c r="D7" i="35" s="1"/>
  <c r="B32" i="33"/>
  <c r="D35" i="33" s="1"/>
  <c r="H41" i="33" s="1"/>
  <c r="B23" i="33"/>
  <c r="D26" i="33" s="1"/>
  <c r="H40" i="33" s="1"/>
  <c r="B14" i="33"/>
  <c r="C15" i="33" s="1"/>
  <c r="C39" i="33" s="1"/>
  <c r="B5" i="33"/>
  <c r="C8" i="33" s="1"/>
  <c r="E38" i="33" s="1"/>
  <c r="D8" i="33" l="1"/>
  <c r="H38" i="33" s="1"/>
  <c r="C5" i="35"/>
  <c r="D5" i="35" s="1"/>
  <c r="H5" i="35"/>
  <c r="I5" i="35" s="1"/>
  <c r="C17" i="33"/>
  <c r="E39" i="33" s="1"/>
  <c r="C34" i="33"/>
  <c r="D41" i="33" s="1"/>
  <c r="C16" i="33"/>
  <c r="D39" i="33" s="1"/>
  <c r="D33" i="33"/>
  <c r="F41" i="33" s="1"/>
  <c r="C6" i="33"/>
  <c r="C38" i="33" s="1"/>
  <c r="D17" i="33"/>
  <c r="H39" i="33" s="1"/>
  <c r="D34" i="33"/>
  <c r="G41" i="33" s="1"/>
  <c r="C6" i="35"/>
  <c r="D6" i="35" s="1"/>
  <c r="D15" i="33"/>
  <c r="F39" i="33" s="1"/>
  <c r="C33" i="33"/>
  <c r="C41" i="33" s="1"/>
  <c r="D16" i="33"/>
  <c r="G39" i="33" s="1"/>
  <c r="D6" i="33"/>
  <c r="F38" i="33" s="1"/>
  <c r="C35" i="33"/>
  <c r="E41" i="33" s="1"/>
  <c r="C7" i="33"/>
  <c r="D38" i="33" s="1"/>
  <c r="C24" i="33"/>
  <c r="C40" i="33" s="1"/>
  <c r="H6" i="35"/>
  <c r="I6" i="35" s="1"/>
  <c r="D7" i="33"/>
  <c r="G38" i="33" s="1"/>
  <c r="D24" i="33"/>
  <c r="F40" i="33" s="1"/>
  <c r="C25" i="33"/>
  <c r="D40" i="33" s="1"/>
  <c r="D25" i="33"/>
  <c r="G40" i="33" s="1"/>
  <c r="C26" i="33"/>
  <c r="E40" i="33" s="1"/>
  <c r="D31" i="14" l="1"/>
  <c r="F31" i="14" s="1"/>
  <c r="D30" i="14"/>
  <c r="F30" i="14" s="1"/>
  <c r="D29" i="14"/>
  <c r="F29" i="14" s="1"/>
  <c r="D28" i="14"/>
  <c r="F28" i="14" s="1"/>
  <c r="D27" i="14"/>
  <c r="F27" i="14" s="1"/>
  <c r="D26" i="14"/>
  <c r="F26" i="14" s="1"/>
  <c r="D25" i="14"/>
  <c r="F25" i="14" s="1"/>
  <c r="D24" i="14"/>
  <c r="F24" i="14" s="1"/>
  <c r="D23" i="14"/>
  <c r="F23" i="14" s="1"/>
  <c r="D22" i="14"/>
  <c r="F22" i="14" s="1"/>
  <c r="D21" i="14"/>
  <c r="F21" i="14" s="1"/>
  <c r="D20" i="14"/>
  <c r="F20" i="14" s="1"/>
  <c r="D19" i="14"/>
  <c r="F19" i="14" s="1"/>
  <c r="D18" i="14"/>
  <c r="F18" i="14" s="1"/>
  <c r="D17" i="14"/>
  <c r="F17" i="14" s="1"/>
  <c r="D16" i="14"/>
  <c r="F16" i="14" s="1"/>
  <c r="D15" i="14"/>
  <c r="F15" i="14" s="1"/>
  <c r="D14" i="14"/>
  <c r="F14" i="14" s="1"/>
  <c r="D13" i="14"/>
  <c r="F13" i="14" s="1"/>
  <c r="D12" i="14"/>
  <c r="F12" i="14" s="1"/>
  <c r="D11" i="14"/>
  <c r="F11" i="14" s="1"/>
  <c r="D10" i="14"/>
  <c r="F10" i="14" s="1"/>
  <c r="D9" i="14"/>
  <c r="F9" i="14" s="1"/>
  <c r="D8" i="14"/>
  <c r="F8" i="14" s="1"/>
  <c r="D13" i="19"/>
  <c r="F13" i="19" s="1"/>
  <c r="D12" i="19"/>
  <c r="F12" i="19" s="1"/>
  <c r="D11" i="19"/>
  <c r="F11" i="19" s="1"/>
  <c r="D10" i="19"/>
  <c r="F10" i="19" s="1"/>
  <c r="D9" i="19"/>
  <c r="F9" i="19" s="1"/>
  <c r="D8" i="19"/>
  <c r="F8" i="19" s="1"/>
  <c r="D7" i="19"/>
  <c r="F7" i="19" s="1"/>
  <c r="D6" i="19"/>
  <c r="F6" i="19" s="1"/>
  <c r="D5" i="19"/>
  <c r="F5" i="19" s="1"/>
  <c r="D4" i="19"/>
  <c r="F4" i="19" s="1"/>
  <c r="D3" i="19"/>
  <c r="F3" i="19" s="1"/>
  <c r="D2" i="19"/>
  <c r="F2" i="19" s="1"/>
  <c r="G26" i="14" l="1"/>
  <c r="G27" i="14" s="1"/>
  <c r="G28" i="14" s="1"/>
  <c r="G29" i="14" s="1"/>
  <c r="G30" i="14" s="1"/>
  <c r="G31" i="14" s="1"/>
  <c r="H31" i="14" s="1"/>
  <c r="I31" i="14" s="1"/>
  <c r="G20" i="14"/>
  <c r="G21" i="14" s="1"/>
  <c r="G22" i="14" s="1"/>
  <c r="G23" i="14" s="1"/>
  <c r="G14" i="14"/>
  <c r="G15" i="14" s="1"/>
  <c r="G16" i="14" s="1"/>
  <c r="G17" i="14" s="1"/>
  <c r="G18" i="14" s="1"/>
  <c r="G19" i="14" s="1"/>
  <c r="H19" i="14" s="1"/>
  <c r="I19" i="14" s="1"/>
  <c r="G8" i="14"/>
  <c r="G9" i="14" s="1"/>
  <c r="G10" i="14" s="1"/>
  <c r="G11" i="14" s="1"/>
  <c r="G12" i="14" s="1"/>
  <c r="G13" i="14" s="1"/>
  <c r="H13" i="14" s="1"/>
  <c r="I13" i="14" s="1"/>
  <c r="G2" i="19"/>
  <c r="G3" i="19" s="1"/>
  <c r="G4" i="19" s="1"/>
  <c r="D7" i="14"/>
  <c r="F7" i="14" s="1"/>
  <c r="D6" i="14"/>
  <c r="F6" i="14" s="1"/>
  <c r="D5" i="14"/>
  <c r="F5" i="14" s="1"/>
  <c r="D4" i="14"/>
  <c r="F4" i="14" s="1"/>
  <c r="D3" i="14"/>
  <c r="F3" i="14" s="1"/>
  <c r="D2" i="14"/>
  <c r="F2" i="14" s="1"/>
  <c r="H26" i="14" l="1"/>
  <c r="I26" i="14" s="1"/>
  <c r="H29" i="14"/>
  <c r="I29" i="14" s="1"/>
  <c r="H28" i="14"/>
  <c r="I28" i="14" s="1"/>
  <c r="H30" i="14"/>
  <c r="I30" i="14" s="1"/>
  <c r="H27" i="14"/>
  <c r="I27" i="14" s="1"/>
  <c r="H21" i="14"/>
  <c r="I21" i="14" s="1"/>
  <c r="H23" i="14"/>
  <c r="I23" i="14" s="1"/>
  <c r="G24" i="14"/>
  <c r="H22" i="14"/>
  <c r="I22" i="14" s="1"/>
  <c r="H20" i="14"/>
  <c r="I20" i="14" s="1"/>
  <c r="H14" i="14"/>
  <c r="I14" i="14" s="1"/>
  <c r="H16" i="14"/>
  <c r="I16" i="14" s="1"/>
  <c r="H17" i="14"/>
  <c r="I17" i="14" s="1"/>
  <c r="H18" i="14"/>
  <c r="I18" i="14" s="1"/>
  <c r="H15" i="14"/>
  <c r="I15" i="14" s="1"/>
  <c r="H12" i="14"/>
  <c r="I12" i="14" s="1"/>
  <c r="H9" i="14"/>
  <c r="I9" i="14" s="1"/>
  <c r="H11" i="14"/>
  <c r="I11" i="14" s="1"/>
  <c r="H10" i="14"/>
  <c r="I10" i="14" s="1"/>
  <c r="H8" i="14"/>
  <c r="I8" i="14" s="1"/>
  <c r="H4" i="19"/>
  <c r="I4" i="19" s="1"/>
  <c r="G5" i="19"/>
  <c r="H2" i="19"/>
  <c r="I2" i="19" s="1"/>
  <c r="H3" i="19"/>
  <c r="I3" i="19" s="1"/>
  <c r="G2" i="14"/>
  <c r="G3" i="14" s="1"/>
  <c r="G4" i="14" s="1"/>
  <c r="G5" i="14" s="1"/>
  <c r="G6" i="14" s="1"/>
  <c r="G7" i="14" s="1"/>
  <c r="G25" i="14" l="1"/>
  <c r="H25" i="14" s="1"/>
  <c r="I25" i="14" s="1"/>
  <c r="H24" i="14"/>
  <c r="I24" i="14" s="1"/>
  <c r="G6" i="19"/>
  <c r="H5" i="19"/>
  <c r="I5" i="19" s="1"/>
  <c r="H2" i="14"/>
  <c r="I2" i="14" s="1"/>
  <c r="H4" i="14"/>
  <c r="I4" i="14" s="1"/>
  <c r="H7" i="14"/>
  <c r="I7" i="14" s="1"/>
  <c r="H6" i="14"/>
  <c r="I6" i="14" s="1"/>
  <c r="H5" i="14"/>
  <c r="I5" i="14" s="1"/>
  <c r="H3" i="14"/>
  <c r="I3" i="14" s="1"/>
  <c r="G7" i="19" l="1"/>
  <c r="H6" i="19"/>
  <c r="I6" i="19" s="1"/>
  <c r="G8" i="19" l="1"/>
  <c r="H7" i="19"/>
  <c r="I7" i="19" s="1"/>
  <c r="G9" i="19" l="1"/>
  <c r="H8" i="19"/>
  <c r="I8" i="19" s="1"/>
  <c r="G10" i="19" l="1"/>
  <c r="H9" i="19"/>
  <c r="I9" i="19" s="1"/>
  <c r="G11" i="19" l="1"/>
  <c r="H10" i="19"/>
  <c r="I10" i="19" s="1"/>
  <c r="G12" i="19" l="1"/>
  <c r="H11" i="19"/>
  <c r="I11" i="19" s="1"/>
  <c r="G13" i="19" l="1"/>
  <c r="H13" i="19" s="1"/>
  <c r="I13" i="19" s="1"/>
  <c r="H12" i="19"/>
  <c r="I12" i="19" s="1"/>
</calcChain>
</file>

<file path=xl/sharedStrings.xml><?xml version="1.0" encoding="utf-8"?>
<sst xmlns="http://schemas.openxmlformats.org/spreadsheetml/2006/main" count="411" uniqueCount="88">
  <si>
    <t xml:space="preserve">Cq   </t>
  </si>
  <si>
    <t>Cq Mean</t>
  </si>
  <si>
    <t>target gene</t>
  </si>
  <si>
    <t>expression</t>
  </si>
  <si>
    <t>GAPDH</t>
  </si>
  <si>
    <t>A01</t>
  </si>
  <si>
    <t>FAM</t>
  </si>
  <si>
    <t>A02</t>
  </si>
  <si>
    <t>A03</t>
  </si>
  <si>
    <t>A04</t>
  </si>
  <si>
    <t>A05</t>
  </si>
  <si>
    <t>A06</t>
  </si>
  <si>
    <t>A07</t>
  </si>
  <si>
    <t>A08</t>
  </si>
  <si>
    <t>A10</t>
  </si>
  <si>
    <t>A11</t>
  </si>
  <si>
    <t>A12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</si>
  <si>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</si>
  <si>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</si>
  <si>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</si>
  <si>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</si>
  <si>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</si>
  <si>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</si>
  <si>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</si>
  <si>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</si>
  <si>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</si>
  <si>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</si>
  <si>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</si>
  <si>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C02</t>
  </si>
  <si>
    <t>C03</t>
  </si>
  <si>
    <t>C04</t>
  </si>
  <si>
    <t>C05</t>
  </si>
  <si>
    <t>C06</t>
  </si>
  <si>
    <t>Hole</t>
    <phoneticPr fontId="1" type="noConversion"/>
  </si>
  <si>
    <t>Channel</t>
    <phoneticPr fontId="1" type="noConversion"/>
  </si>
  <si>
    <t>CT</t>
    <phoneticPr fontId="1" type="noConversion"/>
  </si>
  <si>
    <t>TM</t>
    <phoneticPr fontId="1" type="noConversion"/>
  </si>
  <si>
    <t>Target gene</t>
    <phoneticPr fontId="1" type="noConversion"/>
  </si>
  <si>
    <t>Sample name</t>
  </si>
  <si>
    <t>C07</t>
  </si>
  <si>
    <t>C08</t>
  </si>
  <si>
    <t>C09</t>
  </si>
  <si>
    <t>C10</t>
  </si>
  <si>
    <t>C11</t>
  </si>
  <si>
    <t>C12</t>
  </si>
  <si>
    <t>si-NC</t>
  </si>
  <si>
    <t>Blank</t>
  </si>
  <si>
    <t>A09</t>
    <phoneticPr fontId="1" type="noConversion"/>
  </si>
  <si>
    <t>B01</t>
    <phoneticPr fontId="1" type="noConversion"/>
  </si>
  <si>
    <t>GAPDH</t>
    <phoneticPr fontId="1" type="noConversion"/>
  </si>
  <si>
    <t>C01</t>
    <phoneticPr fontId="1" type="noConversion"/>
  </si>
  <si>
    <t>ESR1</t>
  </si>
  <si>
    <t>MMP9</t>
  </si>
  <si>
    <t>FOS</t>
  </si>
  <si>
    <t>CDKN2A</t>
  </si>
  <si>
    <t>CDK1</t>
  </si>
  <si>
    <t>Huh-7</t>
  </si>
  <si>
    <t>THLE-2</t>
  </si>
  <si>
    <t>THLE-2</t>
    <phoneticPr fontId="1" type="noConversion"/>
  </si>
  <si>
    <t>Huh-7</t>
    <phoneticPr fontId="1" type="noConversion"/>
  </si>
  <si>
    <t>ESR1</t>
    <phoneticPr fontId="1" type="noConversion"/>
  </si>
  <si>
    <t>MMP9</t>
    <phoneticPr fontId="1" type="noConversion"/>
  </si>
  <si>
    <t>FOS</t>
    <phoneticPr fontId="1" type="noConversion"/>
  </si>
  <si>
    <t>CDKN2A</t>
    <phoneticPr fontId="1" type="noConversion"/>
  </si>
  <si>
    <t>CDK1</t>
    <phoneticPr fontId="1" type="noConversion"/>
  </si>
  <si>
    <t>si-MMP9#2</t>
  </si>
  <si>
    <t>si-MMP9#1</t>
    <phoneticPr fontId="1" type="noConversion"/>
  </si>
  <si>
    <t>0h</t>
    <phoneticPr fontId="1" type="noConversion"/>
  </si>
  <si>
    <t>OD450</t>
    <phoneticPr fontId="1" type="noConversion"/>
  </si>
  <si>
    <t>Whitespace removal</t>
    <phoneticPr fontId="1" type="noConversion"/>
  </si>
  <si>
    <t>24h</t>
    <phoneticPr fontId="1" type="noConversion"/>
  </si>
  <si>
    <t>48h</t>
    <phoneticPr fontId="1" type="noConversion"/>
  </si>
  <si>
    <t>72h</t>
    <phoneticPr fontId="1" type="noConversion"/>
  </si>
  <si>
    <t>48h</t>
  </si>
  <si>
    <t>72h</t>
  </si>
  <si>
    <t>A</t>
  </si>
  <si>
    <t>B</t>
  </si>
  <si>
    <t>C</t>
  </si>
  <si>
    <t>D</t>
  </si>
  <si>
    <t>E</t>
  </si>
  <si>
    <t>F</t>
  </si>
  <si>
    <t>G</t>
  </si>
  <si>
    <t>H</t>
  </si>
  <si>
    <t>Blank</t>
    <phoneticPr fontId="11" type="noConversion"/>
  </si>
  <si>
    <t>si-NC</t>
    <phoneticPr fontId="1" type="noConversion"/>
  </si>
  <si>
    <t>blank area</t>
    <phoneticPr fontId="1" type="noConversion"/>
  </si>
  <si>
    <t>Migration rate%</t>
    <phoneticPr fontId="1" type="noConversion"/>
  </si>
  <si>
    <t>Invasion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</si>
</sst>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##0.00;\-###0.00"/>
    <numFmt numFmtId="178" formatCode="0.0000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.25"/>
      <name val="Microsoft Sans Serif"/>
      <family val="2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Microsoft Sans Serif"/>
      <family val="2"/>
    </font>
    <font>
      <sz val="11"/>
      <color theme="1"/>
      <name val="等线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0.5"/>
      <color theme="1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>
      <alignment vertical="top"/>
      <protection locked="0"/>
    </xf>
    <xf numFmtId="0" fontId="4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176" fontId="0" fillId="0" borderId="0" xfId="0" applyNumberFormat="1"/>
    <xf numFmtId="177" fontId="6" fillId="0" borderId="0" xfId="1" applyNumberFormat="1" applyFont="1" applyAlignment="1" applyProtection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3" applyFont="1"/>
    <xf numFmtId="0" fontId="7" fillId="0" borderId="0" xfId="3" applyFont="1" applyAlignment="1">
      <alignment horizontal="center"/>
    </xf>
    <xf numFmtId="178" fontId="7" fillId="0" borderId="0" xfId="3" applyNumberFormat="1" applyFont="1"/>
    <xf numFmtId="178" fontId="8" fillId="0" borderId="0" xfId="3" applyNumberFormat="1" applyFont="1"/>
    <xf numFmtId="0" fontId="9" fillId="0" borderId="0" xfId="3" applyFont="1"/>
    <xf numFmtId="0" fontId="10" fillId="0" borderId="0" xfId="3" applyFont="1"/>
    <xf numFmtId="0" fontId="7" fillId="0" borderId="0" xfId="2" applyFont="1">
      <alignment vertical="center"/>
    </xf>
    <xf numFmtId="0" fontId="12" fillId="0" borderId="0" xfId="2" applyFont="1">
      <alignment vertical="center"/>
    </xf>
    <xf numFmtId="9" fontId="0" fillId="0" borderId="0" xfId="4" applyFont="1" applyAlignment="1"/>
    <xf numFmtId="9" fontId="5" fillId="0" borderId="0" xfId="4" applyFont="1" applyAlignment="1"/>
    <xf numFmtId="0" fontId="13" fillId="0" borderId="0" xfId="0" applyFont="1" applyAlignment="1">
      <alignment vertical="center"/>
    </xf>
    <xf numFmtId="0" fontId="14" fillId="0" borderId="0" xfId="0" applyFont="1"/>
    <xf numFmtId="0" fontId="7" fillId="2" borderId="0" xfId="2" applyFont="1" applyFill="1">
      <alignment vertical="center"/>
    </xf>
    <xf numFmtId="0" fontId="7" fillId="3" borderId="0" xfId="2" applyFont="1" applyFill="1">
      <alignment vertical="center"/>
    </xf>
    <xf numFmtId="0" fontId="0" fillId="0" borderId="0" xfId="0" applyAlignment="1">
      <alignment horizontal="center" vertical="center"/>
    </xf>
    <xf numFmtId="0" fontId="7" fillId="0" borderId="0" xfId="3" applyFont="1" applyAlignment="1">
      <alignment horizontal="center"/>
    </xf>
    <xf numFmtId="0" fontId="7" fillId="0" borderId="0" xfId="2" applyFont="1" applyAlignment="1">
      <alignment horizontal="center" vertical="center"/>
    </xf>
  </cellXfs>
  <cellStyles count="5">
    <cellStyle name="Normal" xfId="1" xr:uid="{35383C33-3018-4BD8-819F-013AC27CEC6B}"/>
    <cellStyle name="百分比" xfId="4" builtinId="5"/>
    <cellStyle name="常规" xfId="0" builtinId="0"/>
    <cellStyle name="常规 2" xfId="2" xr:uid="{17429E47-C733-427F-A13B-F9927498ACAA}"/>
    <cellStyle name="常规 2 2" xfId="3" xr:uid="{77206542-0E71-4D58-8786-F0160FA63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7D7F-4BEA-4C77-84CC-46F05EC1F67C}">
  <dimension ref="A1:P31"/>
  <sheetViews>
    <sheetView workbookViewId="0"/>
  </sheetViews>
  <sheetFormatPr defaultRowHeight="14" x14ac:dyDescent="0.3"/>
  <cols>
    <col min="1" max="1" width="11.75" bestFit="1" customWidth="1"/>
    <col min="9" max="9" width="12.83203125" style="2" customWidth="1"/>
  </cols>
  <sheetData>
    <row r="1" spans="1:16" s="1" customFormat="1" x14ac:dyDescent="0.3">
      <c r="A1" s="5"/>
      <c r="B1"/>
      <c r="C1" s="3" t="s">
        <v>0</v>
      </c>
      <c r="D1" s="3" t="s">
        <v>1</v>
      </c>
      <c r="E1" s="1" t="s">
        <v>2</v>
      </c>
      <c r="F1"/>
      <c r="G1"/>
      <c r="H1"/>
      <c r="I1" s="2" t="s">
        <v>3</v>
      </c>
      <c r="L1" s="4"/>
      <c r="M1" s="4"/>
      <c r="N1" s="4"/>
      <c r="O1" s="4"/>
      <c r="P1" s="4"/>
    </row>
    <row r="2" spans="1:16" s="1" customFormat="1" x14ac:dyDescent="0.3">
      <c r="A2" t="s">
        <v>58</v>
      </c>
      <c r="B2" t="s">
        <v>4</v>
      </c>
      <c r="C2" s="1">
        <v>20.07</v>
      </c>
      <c r="D2" s="3">
        <f>AVERAGE(C2:C4)</f>
        <v>20.070000000000004</v>
      </c>
      <c r="E2" s="1">
        <v>21.93</v>
      </c>
      <c r="F2" s="3">
        <f>E2-D2</f>
        <v>1.8599999999999959</v>
      </c>
      <c r="G2" s="3">
        <f>AVERAGE(F2:F4)</f>
        <v>1.6499999999999961</v>
      </c>
      <c r="H2" s="3">
        <f>F2-G2</f>
        <v>0.20999999999999974</v>
      </c>
      <c r="I2" s="2">
        <f>POWER(2,-H2)</f>
        <v>0.86453723130786542</v>
      </c>
      <c r="J2" s="21" t="s">
        <v>60</v>
      </c>
      <c r="N2" s="4"/>
      <c r="O2" s="4"/>
      <c r="P2" s="4"/>
    </row>
    <row r="3" spans="1:16" s="1" customFormat="1" x14ac:dyDescent="0.3">
      <c r="A3" t="s">
        <v>58</v>
      </c>
      <c r="B3" t="s">
        <v>4</v>
      </c>
      <c r="C3" s="1">
        <v>20.05</v>
      </c>
      <c r="D3" s="3">
        <f>AVERAGE(C2:C4)</f>
        <v>20.070000000000004</v>
      </c>
      <c r="E3" s="1">
        <v>21.77</v>
      </c>
      <c r="F3" s="3">
        <f t="shared" ref="F3:F7" si="0">E3-D3</f>
        <v>1.6999999999999957</v>
      </c>
      <c r="G3" s="3">
        <f>G2</f>
        <v>1.6499999999999961</v>
      </c>
      <c r="H3" s="3">
        <f t="shared" ref="H3:H7" si="1">F3-G3</f>
        <v>4.99999999999996E-2</v>
      </c>
      <c r="I3" s="2">
        <f t="shared" ref="I3:I7" si="2">POWER(2,-H3)</f>
        <v>0.96593632892484593</v>
      </c>
      <c r="J3" s="21"/>
      <c r="N3" s="4"/>
      <c r="O3" s="4"/>
      <c r="P3" s="4"/>
    </row>
    <row r="4" spans="1:16" s="1" customFormat="1" x14ac:dyDescent="0.3">
      <c r="A4" t="s">
        <v>58</v>
      </c>
      <c r="B4" t="s">
        <v>4</v>
      </c>
      <c r="C4" s="1">
        <v>20.09</v>
      </c>
      <c r="D4" s="3">
        <f>AVERAGE(C2:C4)</f>
        <v>20.070000000000004</v>
      </c>
      <c r="E4" s="1">
        <v>21.46</v>
      </c>
      <c r="F4" s="3">
        <f t="shared" si="0"/>
        <v>1.389999999999997</v>
      </c>
      <c r="G4" s="3">
        <f t="shared" ref="G4:G7" si="3">G3</f>
        <v>1.6499999999999961</v>
      </c>
      <c r="H4" s="3">
        <f t="shared" si="1"/>
        <v>-0.25999999999999912</v>
      </c>
      <c r="I4" s="2">
        <f t="shared" si="2"/>
        <v>1.1974787046189279</v>
      </c>
      <c r="J4" s="21"/>
      <c r="N4" s="4"/>
      <c r="O4" s="4"/>
      <c r="P4" s="4"/>
    </row>
    <row r="5" spans="1:16" s="1" customFormat="1" x14ac:dyDescent="0.3">
      <c r="A5" t="s">
        <v>59</v>
      </c>
      <c r="B5" t="s">
        <v>4</v>
      </c>
      <c r="C5" s="1">
        <v>20.09</v>
      </c>
      <c r="D5" s="3">
        <f>AVERAGE(C5:C7)</f>
        <v>20.060000000000002</v>
      </c>
      <c r="E5" s="1">
        <v>22.56</v>
      </c>
      <c r="F5" s="3">
        <f t="shared" si="0"/>
        <v>2.4999999999999964</v>
      </c>
      <c r="G5" s="3">
        <f t="shared" si="3"/>
        <v>1.6499999999999961</v>
      </c>
      <c r="H5" s="3">
        <f t="shared" si="1"/>
        <v>0.85000000000000031</v>
      </c>
      <c r="I5" s="2">
        <f t="shared" si="2"/>
        <v>0.55478473603392242</v>
      </c>
      <c r="J5" s="21"/>
      <c r="L5" s="4"/>
      <c r="M5" s="4"/>
      <c r="N5" s="4"/>
      <c r="O5" s="4"/>
      <c r="P5" s="4"/>
    </row>
    <row r="6" spans="1:16" s="1" customFormat="1" x14ac:dyDescent="0.3">
      <c r="A6" t="s">
        <v>59</v>
      </c>
      <c r="B6" t="s">
        <v>4</v>
      </c>
      <c r="C6" s="1">
        <v>20.079999999999998</v>
      </c>
      <c r="D6" s="3">
        <f>AVERAGE(C5:C7)</f>
        <v>20.060000000000002</v>
      </c>
      <c r="E6" s="1">
        <v>23.38</v>
      </c>
      <c r="F6" s="3">
        <f t="shared" si="0"/>
        <v>3.3199999999999967</v>
      </c>
      <c r="G6" s="3">
        <f t="shared" si="3"/>
        <v>1.6499999999999961</v>
      </c>
      <c r="H6" s="3">
        <f t="shared" si="1"/>
        <v>1.6700000000000006</v>
      </c>
      <c r="I6" s="2">
        <f t="shared" si="2"/>
        <v>0.31425334363045693</v>
      </c>
      <c r="J6" s="21"/>
      <c r="L6" s="4"/>
      <c r="M6" s="4"/>
      <c r="N6" s="4"/>
      <c r="O6" s="4"/>
      <c r="P6" s="4"/>
    </row>
    <row r="7" spans="1:16" s="1" customFormat="1" x14ac:dyDescent="0.3">
      <c r="A7" t="s">
        <v>59</v>
      </c>
      <c r="B7" t="s">
        <v>4</v>
      </c>
      <c r="C7" s="1">
        <v>20.010000000000002</v>
      </c>
      <c r="D7" s="3">
        <f>AVERAGE(C5:C7)</f>
        <v>20.060000000000002</v>
      </c>
      <c r="E7" s="1">
        <v>23.17</v>
      </c>
      <c r="F7" s="3">
        <f t="shared" si="0"/>
        <v>3.1099999999999994</v>
      </c>
      <c r="G7" s="3">
        <f t="shared" si="3"/>
        <v>1.6499999999999961</v>
      </c>
      <c r="H7" s="3">
        <f t="shared" si="1"/>
        <v>1.4600000000000033</v>
      </c>
      <c r="I7" s="2">
        <f t="shared" si="2"/>
        <v>0.36349312933007683</v>
      </c>
      <c r="J7" s="21"/>
      <c r="L7" s="4"/>
      <c r="M7" s="4"/>
      <c r="N7" s="4"/>
      <c r="O7" s="4"/>
    </row>
    <row r="8" spans="1:16" x14ac:dyDescent="0.3">
      <c r="A8" t="s">
        <v>58</v>
      </c>
      <c r="B8" t="s">
        <v>4</v>
      </c>
      <c r="C8" s="1">
        <v>20.07</v>
      </c>
      <c r="D8" s="3">
        <f>AVERAGE(C8:C10)</f>
        <v>20.070000000000004</v>
      </c>
      <c r="E8" s="1">
        <v>23.34</v>
      </c>
      <c r="F8" s="3">
        <f>E8-D8</f>
        <v>3.269999999999996</v>
      </c>
      <c r="G8" s="3">
        <f>AVERAGE(F8:F10)</f>
        <v>3.2233333333333305</v>
      </c>
      <c r="H8" s="3">
        <f>F8-G8</f>
        <v>4.6666666666665524E-2</v>
      </c>
      <c r="I8" s="2">
        <f>POWER(2,-H8)</f>
        <v>0.96817069598288374</v>
      </c>
      <c r="J8" s="21" t="s">
        <v>61</v>
      </c>
    </row>
    <row r="9" spans="1:16" x14ac:dyDescent="0.3">
      <c r="A9" t="s">
        <v>58</v>
      </c>
      <c r="B9" t="s">
        <v>4</v>
      </c>
      <c r="C9" s="1">
        <v>20.05</v>
      </c>
      <c r="D9" s="3">
        <f>AVERAGE(C8:C10)</f>
        <v>20.070000000000004</v>
      </c>
      <c r="E9" s="1">
        <v>23.26</v>
      </c>
      <c r="F9" s="3">
        <f t="shared" ref="F9:F13" si="4">E9-D9</f>
        <v>3.1899999999999977</v>
      </c>
      <c r="G9" s="3">
        <f>G8</f>
        <v>3.2233333333333305</v>
      </c>
      <c r="H9" s="3">
        <f t="shared" ref="H9:H13" si="5">F9-G9</f>
        <v>-3.3333333333332771E-2</v>
      </c>
      <c r="I9" s="2">
        <f t="shared" ref="I9:I13" si="6">POWER(2,-H9)</f>
        <v>1.0233738919967745</v>
      </c>
      <c r="J9" s="21"/>
    </row>
    <row r="10" spans="1:16" x14ac:dyDescent="0.3">
      <c r="A10" t="s">
        <v>58</v>
      </c>
      <c r="B10" t="s">
        <v>4</v>
      </c>
      <c r="C10" s="1">
        <v>20.09</v>
      </c>
      <c r="D10" s="3">
        <f>AVERAGE(C8:C10)</f>
        <v>20.070000000000004</v>
      </c>
      <c r="E10" s="1">
        <v>23.28</v>
      </c>
      <c r="F10" s="3">
        <f t="shared" si="4"/>
        <v>3.2099999999999973</v>
      </c>
      <c r="G10" s="3">
        <f t="shared" ref="G10:G13" si="7">G9</f>
        <v>3.2233333333333305</v>
      </c>
      <c r="H10" s="3">
        <f t="shared" si="5"/>
        <v>-1.3333333333333197E-2</v>
      </c>
      <c r="I10" s="2">
        <f t="shared" si="6"/>
        <v>1.009284801211874</v>
      </c>
      <c r="J10" s="21"/>
    </row>
    <row r="11" spans="1:16" x14ac:dyDescent="0.3">
      <c r="A11" t="s">
        <v>59</v>
      </c>
      <c r="B11" t="s">
        <v>4</v>
      </c>
      <c r="C11" s="1">
        <v>20.09</v>
      </c>
      <c r="D11" s="3">
        <f>AVERAGE(C11:C13)</f>
        <v>20.060000000000002</v>
      </c>
      <c r="E11" s="1">
        <v>21.91</v>
      </c>
      <c r="F11" s="3">
        <f t="shared" si="4"/>
        <v>1.8499999999999979</v>
      </c>
      <c r="G11" s="3">
        <f t="shared" si="7"/>
        <v>3.2233333333333305</v>
      </c>
      <c r="H11" s="3">
        <f t="shared" si="5"/>
        <v>-1.3733333333333326</v>
      </c>
      <c r="I11" s="2">
        <f t="shared" si="6"/>
        <v>2.5906845037838924</v>
      </c>
      <c r="J11" s="21"/>
    </row>
    <row r="12" spans="1:16" x14ac:dyDescent="0.3">
      <c r="A12" t="s">
        <v>59</v>
      </c>
      <c r="B12" t="s">
        <v>4</v>
      </c>
      <c r="C12" s="1">
        <v>20.079999999999998</v>
      </c>
      <c r="D12" s="3">
        <f>AVERAGE(C11:C13)</f>
        <v>20.060000000000002</v>
      </c>
      <c r="E12" s="1">
        <v>21.59</v>
      </c>
      <c r="F12" s="3">
        <f t="shared" si="4"/>
        <v>1.5299999999999976</v>
      </c>
      <c r="G12" s="3">
        <f t="shared" si="7"/>
        <v>3.2233333333333305</v>
      </c>
      <c r="H12" s="3">
        <f t="shared" si="5"/>
        <v>-1.6933333333333329</v>
      </c>
      <c r="I12" s="2">
        <f t="shared" si="6"/>
        <v>3.2340306086394475</v>
      </c>
      <c r="J12" s="21"/>
    </row>
    <row r="13" spans="1:16" x14ac:dyDescent="0.3">
      <c r="A13" t="s">
        <v>59</v>
      </c>
      <c r="B13" t="s">
        <v>4</v>
      </c>
      <c r="C13" s="1">
        <v>20.010000000000002</v>
      </c>
      <c r="D13" s="3">
        <f>AVERAGE(C11:C13)</f>
        <v>20.060000000000002</v>
      </c>
      <c r="E13" s="1">
        <v>21.8</v>
      </c>
      <c r="F13" s="3">
        <f t="shared" si="4"/>
        <v>1.7399999999999984</v>
      </c>
      <c r="G13" s="3">
        <f t="shared" si="7"/>
        <v>3.2233333333333305</v>
      </c>
      <c r="H13" s="3">
        <f t="shared" si="5"/>
        <v>-1.4833333333333321</v>
      </c>
      <c r="I13" s="2">
        <f t="shared" si="6"/>
        <v>2.7959398683580363</v>
      </c>
      <c r="J13" s="21"/>
    </row>
    <row r="14" spans="1:16" x14ac:dyDescent="0.3">
      <c r="A14" t="s">
        <v>58</v>
      </c>
      <c r="B14" t="s">
        <v>4</v>
      </c>
      <c r="C14" s="1">
        <v>20.07</v>
      </c>
      <c r="D14" s="3">
        <f>AVERAGE(C14:C16)</f>
        <v>20.070000000000004</v>
      </c>
      <c r="E14" s="1">
        <v>23.19</v>
      </c>
      <c r="F14" s="3">
        <f>E14-D14</f>
        <v>3.1199999999999974</v>
      </c>
      <c r="G14" s="3">
        <f>AVERAGE(F14:F16)</f>
        <v>3.3333333333333299</v>
      </c>
      <c r="H14" s="3">
        <f>F14-G14</f>
        <v>-0.21333333333333249</v>
      </c>
      <c r="I14" s="2">
        <f>POWER(2,-H14)</f>
        <v>1.1593637908755887</v>
      </c>
      <c r="J14" s="21" t="s">
        <v>62</v>
      </c>
    </row>
    <row r="15" spans="1:16" x14ac:dyDescent="0.3">
      <c r="A15" t="s">
        <v>58</v>
      </c>
      <c r="B15" t="s">
        <v>4</v>
      </c>
      <c r="C15" s="1">
        <v>20.05</v>
      </c>
      <c r="D15" s="3">
        <f>AVERAGE(C14:C16)</f>
        <v>20.070000000000004</v>
      </c>
      <c r="E15" s="1">
        <v>23.47</v>
      </c>
      <c r="F15" s="3">
        <f t="shared" ref="F15:F19" si="8">E15-D15</f>
        <v>3.399999999999995</v>
      </c>
      <c r="G15" s="3">
        <f>G14</f>
        <v>3.3333333333333299</v>
      </c>
      <c r="H15" s="3">
        <f t="shared" ref="H15:H19" si="9">F15-G15</f>
        <v>6.6666666666665098E-2</v>
      </c>
      <c r="I15" s="2">
        <f t="shared" ref="I15:I19" si="10">POWER(2,-H15)</f>
        <v>0.9548416039104175</v>
      </c>
      <c r="J15" s="21"/>
    </row>
    <row r="16" spans="1:16" x14ac:dyDescent="0.3">
      <c r="A16" t="s">
        <v>58</v>
      </c>
      <c r="B16" t="s">
        <v>4</v>
      </c>
      <c r="C16" s="1">
        <v>20.09</v>
      </c>
      <c r="D16" s="3">
        <f>AVERAGE(C14:C16)</f>
        <v>20.070000000000004</v>
      </c>
      <c r="E16" s="1">
        <v>23.55</v>
      </c>
      <c r="F16" s="3">
        <f t="shared" si="8"/>
        <v>3.4799999999999969</v>
      </c>
      <c r="G16" s="3">
        <f t="shared" ref="G16:G19" si="11">G15</f>
        <v>3.3333333333333299</v>
      </c>
      <c r="H16" s="3">
        <f t="shared" si="9"/>
        <v>0.14666666666666694</v>
      </c>
      <c r="I16" s="2">
        <f t="shared" si="10"/>
        <v>0.90333520079118212</v>
      </c>
      <c r="J16" s="21"/>
    </row>
    <row r="17" spans="1:10" x14ac:dyDescent="0.3">
      <c r="A17" t="s">
        <v>59</v>
      </c>
      <c r="B17" t="s">
        <v>4</v>
      </c>
      <c r="C17" s="1">
        <v>20.09</v>
      </c>
      <c r="D17" s="3">
        <f>AVERAGE(C17:C19)</f>
        <v>20.060000000000002</v>
      </c>
      <c r="E17" s="1">
        <v>22.81</v>
      </c>
      <c r="F17" s="3">
        <f t="shared" si="8"/>
        <v>2.7499999999999964</v>
      </c>
      <c r="G17" s="3">
        <f t="shared" si="11"/>
        <v>3.3333333333333299</v>
      </c>
      <c r="H17" s="3">
        <f t="shared" si="9"/>
        <v>-0.58333333333333348</v>
      </c>
      <c r="I17" s="2">
        <f t="shared" si="10"/>
        <v>1.4983070768766815</v>
      </c>
      <c r="J17" s="21"/>
    </row>
    <row r="18" spans="1:10" x14ac:dyDescent="0.3">
      <c r="A18" t="s">
        <v>59</v>
      </c>
      <c r="B18" t="s">
        <v>4</v>
      </c>
      <c r="C18" s="1">
        <v>20.079999999999998</v>
      </c>
      <c r="D18" s="3">
        <f>AVERAGE(C17:C19)</f>
        <v>20.060000000000002</v>
      </c>
      <c r="E18" s="1">
        <v>22.26</v>
      </c>
      <c r="F18" s="3">
        <f t="shared" si="8"/>
        <v>2.1999999999999993</v>
      </c>
      <c r="G18" s="3">
        <f t="shared" si="11"/>
        <v>3.3333333333333299</v>
      </c>
      <c r="H18" s="3">
        <f t="shared" si="9"/>
        <v>-1.1333333333333306</v>
      </c>
      <c r="I18" s="2">
        <f t="shared" si="10"/>
        <v>2.1936499593892478</v>
      </c>
      <c r="J18" s="21"/>
    </row>
    <row r="19" spans="1:10" x14ac:dyDescent="0.3">
      <c r="A19" t="s">
        <v>59</v>
      </c>
      <c r="B19" t="s">
        <v>4</v>
      </c>
      <c r="C19" s="1">
        <v>20.010000000000002</v>
      </c>
      <c r="D19" s="3">
        <f>AVERAGE(C17:C19)</f>
        <v>20.060000000000002</v>
      </c>
      <c r="E19" s="1">
        <v>22.58</v>
      </c>
      <c r="F19" s="3">
        <f t="shared" si="8"/>
        <v>2.519999999999996</v>
      </c>
      <c r="G19" s="3">
        <f t="shared" si="11"/>
        <v>3.3333333333333299</v>
      </c>
      <c r="H19" s="3">
        <f t="shared" si="9"/>
        <v>-0.81333333333333391</v>
      </c>
      <c r="I19" s="2">
        <f t="shared" si="10"/>
        <v>1.7572669044424281</v>
      </c>
      <c r="J19" s="21"/>
    </row>
    <row r="20" spans="1:10" x14ac:dyDescent="0.3">
      <c r="A20" t="s">
        <v>58</v>
      </c>
      <c r="B20" t="s">
        <v>4</v>
      </c>
      <c r="C20" s="1">
        <v>20.07</v>
      </c>
      <c r="D20" s="3">
        <f>AVERAGE(C20:C22)</f>
        <v>20.070000000000004</v>
      </c>
      <c r="E20" s="1">
        <v>23.1</v>
      </c>
      <c r="F20" s="3">
        <f>E20-D20</f>
        <v>3.0299999999999976</v>
      </c>
      <c r="G20" s="3">
        <f>AVERAGE(F20:F22)</f>
        <v>3.2766666666666637</v>
      </c>
      <c r="H20" s="3">
        <f>F20-G20</f>
        <v>-0.24666666666666615</v>
      </c>
      <c r="I20" s="2">
        <f>POWER(2,-H20)</f>
        <v>1.1864626349084866</v>
      </c>
      <c r="J20" s="21" t="s">
        <v>63</v>
      </c>
    </row>
    <row r="21" spans="1:10" x14ac:dyDescent="0.3">
      <c r="A21" t="s">
        <v>58</v>
      </c>
      <c r="B21" t="s">
        <v>4</v>
      </c>
      <c r="C21" s="1">
        <v>20.05</v>
      </c>
      <c r="D21" s="3">
        <f>AVERAGE(C20:C22)</f>
        <v>20.070000000000004</v>
      </c>
      <c r="E21" s="1">
        <v>23.32</v>
      </c>
      <c r="F21" s="3">
        <f t="shared" ref="F21:F25" si="12">E21-D21</f>
        <v>3.2499999999999964</v>
      </c>
      <c r="G21" s="3">
        <f>G20</f>
        <v>3.2766666666666637</v>
      </c>
      <c r="H21" s="3">
        <f t="shared" ref="H21:H25" si="13">F21-G21</f>
        <v>-2.6666666666667282E-2</v>
      </c>
      <c r="I21" s="2">
        <f t="shared" ref="I21:I25" si="14">POWER(2,-H21)</f>
        <v>1.0186558099572929</v>
      </c>
      <c r="J21" s="21"/>
    </row>
    <row r="22" spans="1:10" x14ac:dyDescent="0.3">
      <c r="A22" t="s">
        <v>58</v>
      </c>
      <c r="B22" t="s">
        <v>4</v>
      </c>
      <c r="C22" s="1">
        <v>20.09</v>
      </c>
      <c r="D22" s="3">
        <f>AVERAGE(C20:C22)</f>
        <v>20.070000000000004</v>
      </c>
      <c r="E22" s="1">
        <v>23.62</v>
      </c>
      <c r="F22" s="3">
        <f t="shared" si="12"/>
        <v>3.5499999999999972</v>
      </c>
      <c r="G22" s="3">
        <f t="shared" ref="G22:G25" si="15">G21</f>
        <v>3.2766666666666637</v>
      </c>
      <c r="H22" s="3">
        <f t="shared" si="13"/>
        <v>0.27333333333333343</v>
      </c>
      <c r="I22" s="2">
        <f t="shared" si="14"/>
        <v>0.82740562270001272</v>
      </c>
      <c r="J22" s="21"/>
    </row>
    <row r="23" spans="1:10" x14ac:dyDescent="0.3">
      <c r="A23" t="s">
        <v>59</v>
      </c>
      <c r="B23" t="s">
        <v>4</v>
      </c>
      <c r="C23" s="1">
        <v>20.09</v>
      </c>
      <c r="D23" s="3">
        <f>AVERAGE(C23:C25)</f>
        <v>20.060000000000002</v>
      </c>
      <c r="E23" s="1">
        <v>22.62</v>
      </c>
      <c r="F23" s="3">
        <f t="shared" si="12"/>
        <v>2.5599999999999987</v>
      </c>
      <c r="G23" s="3">
        <f t="shared" si="15"/>
        <v>3.2766666666666637</v>
      </c>
      <c r="H23" s="3">
        <f t="shared" si="13"/>
        <v>-0.71666666666666501</v>
      </c>
      <c r="I23" s="2">
        <f t="shared" si="14"/>
        <v>1.6433806291715787</v>
      </c>
      <c r="J23" s="21"/>
    </row>
    <row r="24" spans="1:10" x14ac:dyDescent="0.3">
      <c r="A24" t="s">
        <v>59</v>
      </c>
      <c r="B24" t="s">
        <v>4</v>
      </c>
      <c r="C24" s="1">
        <v>20.079999999999998</v>
      </c>
      <c r="D24" s="3">
        <f>AVERAGE(C23:C25)</f>
        <v>20.060000000000002</v>
      </c>
      <c r="E24" s="1">
        <v>22.4</v>
      </c>
      <c r="F24" s="3">
        <f t="shared" si="12"/>
        <v>2.3399999999999963</v>
      </c>
      <c r="G24" s="3">
        <f t="shared" si="15"/>
        <v>3.2766666666666637</v>
      </c>
      <c r="H24" s="3">
        <f t="shared" si="13"/>
        <v>-0.93666666666666742</v>
      </c>
      <c r="I24" s="2">
        <f t="shared" si="14"/>
        <v>1.9141006141478034</v>
      </c>
      <c r="J24" s="21"/>
    </row>
    <row r="25" spans="1:10" x14ac:dyDescent="0.3">
      <c r="A25" t="s">
        <v>59</v>
      </c>
      <c r="B25" t="s">
        <v>4</v>
      </c>
      <c r="C25" s="1">
        <v>20.010000000000002</v>
      </c>
      <c r="D25" s="3">
        <f>AVERAGE(C23:C25)</f>
        <v>20.060000000000002</v>
      </c>
      <c r="E25" s="1">
        <v>22.07</v>
      </c>
      <c r="F25" s="3">
        <f t="shared" si="12"/>
        <v>2.009999999999998</v>
      </c>
      <c r="G25" s="3">
        <f t="shared" si="15"/>
        <v>3.2766666666666637</v>
      </c>
      <c r="H25" s="3">
        <f t="shared" si="13"/>
        <v>-1.2666666666666657</v>
      </c>
      <c r="I25" s="2">
        <f t="shared" si="14"/>
        <v>2.4060500721642315</v>
      </c>
      <c r="J25" s="21"/>
    </row>
    <row r="26" spans="1:10" x14ac:dyDescent="0.3">
      <c r="A26" t="s">
        <v>58</v>
      </c>
      <c r="B26" t="s">
        <v>4</v>
      </c>
      <c r="C26" s="1">
        <v>20.07</v>
      </c>
      <c r="D26" s="3">
        <f>AVERAGE(C26:C28)</f>
        <v>20.070000000000004</v>
      </c>
      <c r="E26" s="1">
        <v>27.44</v>
      </c>
      <c r="F26" s="3">
        <f>E26-D26</f>
        <v>7.3699999999999974</v>
      </c>
      <c r="G26" s="3">
        <f>AVERAGE(F26:F28)</f>
        <v>7.14333333333333</v>
      </c>
      <c r="H26" s="3">
        <f>F26-G26</f>
        <v>0.22666666666666746</v>
      </c>
      <c r="I26" s="2">
        <f>POWER(2,-H26)</f>
        <v>0.85460717426489896</v>
      </c>
      <c r="J26" s="21" t="s">
        <v>64</v>
      </c>
    </row>
    <row r="27" spans="1:10" x14ac:dyDescent="0.3">
      <c r="A27" t="s">
        <v>58</v>
      </c>
      <c r="B27" t="s">
        <v>4</v>
      </c>
      <c r="C27" s="1">
        <v>20.05</v>
      </c>
      <c r="D27" s="3">
        <f>AVERAGE(C26:C28)</f>
        <v>20.070000000000004</v>
      </c>
      <c r="E27" s="1">
        <v>27.04</v>
      </c>
      <c r="F27" s="3">
        <f t="shared" ref="F27:F31" si="16">E27-D27</f>
        <v>6.9699999999999953</v>
      </c>
      <c r="G27" s="3">
        <f>G26</f>
        <v>7.14333333333333</v>
      </c>
      <c r="H27" s="3">
        <f t="shared" ref="H27:H31" si="17">F27-G27</f>
        <v>-0.17333333333333467</v>
      </c>
      <c r="I27" s="2">
        <f t="shared" ref="I27:I31" si="18">POWER(2,-H27)</f>
        <v>1.1276609270458053</v>
      </c>
      <c r="J27" s="21"/>
    </row>
    <row r="28" spans="1:10" x14ac:dyDescent="0.3">
      <c r="A28" t="s">
        <v>58</v>
      </c>
      <c r="B28" t="s">
        <v>4</v>
      </c>
      <c r="C28" s="1">
        <v>20.09</v>
      </c>
      <c r="D28" s="3">
        <f>AVERAGE(C26:C28)</f>
        <v>20.070000000000004</v>
      </c>
      <c r="E28" s="1">
        <v>27.16</v>
      </c>
      <c r="F28" s="3">
        <f t="shared" si="16"/>
        <v>7.0899999999999963</v>
      </c>
      <c r="G28" s="3">
        <f t="shared" ref="G28:G31" si="19">G27</f>
        <v>7.14333333333333</v>
      </c>
      <c r="H28" s="3">
        <f t="shared" si="17"/>
        <v>-5.3333333333333677E-2</v>
      </c>
      <c r="I28" s="2">
        <f t="shared" si="18"/>
        <v>1.0376596591597476</v>
      </c>
      <c r="J28" s="21"/>
    </row>
    <row r="29" spans="1:10" x14ac:dyDescent="0.3">
      <c r="A29" t="s">
        <v>59</v>
      </c>
      <c r="B29" t="s">
        <v>4</v>
      </c>
      <c r="C29" s="1">
        <v>20.09</v>
      </c>
      <c r="D29" s="3">
        <f>AVERAGE(C29:C31)</f>
        <v>20.060000000000002</v>
      </c>
      <c r="E29" s="1">
        <v>26.05</v>
      </c>
      <c r="F29" s="3">
        <f t="shared" si="16"/>
        <v>5.9899999999999984</v>
      </c>
      <c r="G29" s="3">
        <f t="shared" si="19"/>
        <v>7.14333333333333</v>
      </c>
      <c r="H29" s="3">
        <f t="shared" si="17"/>
        <v>-1.1533333333333315</v>
      </c>
      <c r="I29" s="2">
        <f t="shared" si="18"/>
        <v>2.2242721716637419</v>
      </c>
      <c r="J29" s="21"/>
    </row>
    <row r="30" spans="1:10" x14ac:dyDescent="0.3">
      <c r="A30" t="s">
        <v>59</v>
      </c>
      <c r="B30" t="s">
        <v>4</v>
      </c>
      <c r="C30" s="1">
        <v>20.079999999999998</v>
      </c>
      <c r="D30" s="3">
        <f>AVERAGE(C29:C31)</f>
        <v>20.060000000000002</v>
      </c>
      <c r="E30" s="1">
        <v>26.45</v>
      </c>
      <c r="F30" s="3">
        <f t="shared" si="16"/>
        <v>6.389999999999997</v>
      </c>
      <c r="G30" s="3">
        <f t="shared" si="19"/>
        <v>7.14333333333333</v>
      </c>
      <c r="H30" s="3">
        <f t="shared" si="17"/>
        <v>-0.75333333333333297</v>
      </c>
      <c r="I30" s="2">
        <f t="shared" si="18"/>
        <v>1.6856830895093984</v>
      </c>
      <c r="J30" s="21"/>
    </row>
    <row r="31" spans="1:10" x14ac:dyDescent="0.3">
      <c r="A31" t="s">
        <v>59</v>
      </c>
      <c r="B31" t="s">
        <v>4</v>
      </c>
      <c r="C31" s="1">
        <v>20.010000000000002</v>
      </c>
      <c r="D31" s="3">
        <f>AVERAGE(C29:C31)</f>
        <v>20.060000000000002</v>
      </c>
      <c r="E31" s="1">
        <v>26.26</v>
      </c>
      <c r="F31" s="3">
        <f t="shared" si="16"/>
        <v>6.1999999999999993</v>
      </c>
      <c r="G31" s="3">
        <f t="shared" si="19"/>
        <v>7.14333333333333</v>
      </c>
      <c r="H31" s="3">
        <f t="shared" si="17"/>
        <v>-0.94333333333333069</v>
      </c>
      <c r="I31" s="2">
        <f t="shared" si="18"/>
        <v>1.9229661049653026</v>
      </c>
      <c r="J31" s="21"/>
    </row>
  </sheetData>
  <mergeCells count="5">
    <mergeCell ref="J26:J31"/>
    <mergeCell ref="J2:J7"/>
    <mergeCell ref="J8:J13"/>
    <mergeCell ref="J14:J19"/>
    <mergeCell ref="J20:J2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1FE2-9E66-4A4E-AC32-9B1D754364DD}">
  <dimension ref="A1:F37"/>
  <sheetViews>
    <sheetView workbookViewId="0">
      <selection activeCell="K22" sqref="K22"/>
    </sheetView>
  </sheetViews>
  <sheetFormatPr defaultRowHeight="14" x14ac:dyDescent="0.3"/>
  <sheetData>
    <row r="1" spans="1:6" s="1" customFormat="1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s="1" customFormat="1" x14ac:dyDescent="0.3">
      <c r="A2" s="1" t="s">
        <v>5</v>
      </c>
      <c r="B2" s="1" t="s">
        <v>6</v>
      </c>
      <c r="C2" s="1">
        <v>21.93</v>
      </c>
      <c r="D2" s="1">
        <v>82</v>
      </c>
      <c r="E2" s="1" t="s">
        <v>51</v>
      </c>
      <c r="F2" t="s">
        <v>58</v>
      </c>
    </row>
    <row r="3" spans="1:6" s="1" customFormat="1" x14ac:dyDescent="0.3">
      <c r="A3" s="1" t="s">
        <v>7</v>
      </c>
      <c r="B3" s="1" t="s">
        <v>6</v>
      </c>
      <c r="C3" s="1">
        <v>21.77</v>
      </c>
      <c r="D3" s="1">
        <v>82</v>
      </c>
      <c r="E3" s="1" t="s">
        <v>51</v>
      </c>
      <c r="F3" t="s">
        <v>58</v>
      </c>
    </row>
    <row r="4" spans="1:6" s="1" customFormat="1" x14ac:dyDescent="0.3">
      <c r="A4" s="1" t="s">
        <v>8</v>
      </c>
      <c r="B4" s="1" t="s">
        <v>6</v>
      </c>
      <c r="C4" s="1">
        <v>21.46</v>
      </c>
      <c r="D4" s="1">
        <v>82</v>
      </c>
      <c r="E4" s="1" t="s">
        <v>51</v>
      </c>
      <c r="F4" t="s">
        <v>58</v>
      </c>
    </row>
    <row r="5" spans="1:6" s="1" customFormat="1" x14ac:dyDescent="0.3">
      <c r="A5" s="1" t="s">
        <v>9</v>
      </c>
      <c r="B5" s="1" t="s">
        <v>6</v>
      </c>
      <c r="C5" s="1">
        <v>22.56</v>
      </c>
      <c r="D5" s="1">
        <v>82</v>
      </c>
      <c r="E5" s="1" t="s">
        <v>51</v>
      </c>
      <c r="F5" t="s">
        <v>59</v>
      </c>
    </row>
    <row r="6" spans="1:6" s="1" customFormat="1" x14ac:dyDescent="0.3">
      <c r="A6" s="1" t="s">
        <v>10</v>
      </c>
      <c r="B6" s="1" t="s">
        <v>6</v>
      </c>
      <c r="C6" s="1">
        <v>23.38</v>
      </c>
      <c r="D6" s="1">
        <v>82</v>
      </c>
      <c r="E6" s="1" t="s">
        <v>51</v>
      </c>
      <c r="F6" t="s">
        <v>59</v>
      </c>
    </row>
    <row r="7" spans="1:6" s="1" customFormat="1" x14ac:dyDescent="0.3">
      <c r="A7" s="1" t="s">
        <v>11</v>
      </c>
      <c r="B7" s="1" t="s">
        <v>6</v>
      </c>
      <c r="C7" s="1">
        <v>23.17</v>
      </c>
      <c r="D7" s="1">
        <v>82</v>
      </c>
      <c r="E7" s="1" t="s">
        <v>51</v>
      </c>
      <c r="F7" t="s">
        <v>59</v>
      </c>
    </row>
    <row r="8" spans="1:6" s="1" customFormat="1" x14ac:dyDescent="0.3">
      <c r="A8" s="1" t="s">
        <v>12</v>
      </c>
      <c r="B8" s="1" t="s">
        <v>6</v>
      </c>
      <c r="C8" s="1">
        <v>23.34</v>
      </c>
      <c r="D8" s="1">
        <v>82</v>
      </c>
      <c r="E8" s="1" t="s">
        <v>52</v>
      </c>
      <c r="F8" t="s">
        <v>58</v>
      </c>
    </row>
    <row r="9" spans="1:6" s="1" customFormat="1" x14ac:dyDescent="0.3">
      <c r="A9" s="1" t="s">
        <v>13</v>
      </c>
      <c r="B9" s="1" t="s">
        <v>6</v>
      </c>
      <c r="C9" s="1">
        <v>23.26</v>
      </c>
      <c r="D9" s="1">
        <v>82</v>
      </c>
      <c r="E9" s="1" t="s">
        <v>52</v>
      </c>
      <c r="F9" t="s">
        <v>58</v>
      </c>
    </row>
    <row r="10" spans="1:6" s="1" customFormat="1" x14ac:dyDescent="0.3">
      <c r="A10" s="1" t="s">
        <v>47</v>
      </c>
      <c r="B10" s="1" t="s">
        <v>6</v>
      </c>
      <c r="C10" s="1">
        <v>23.28</v>
      </c>
      <c r="D10" s="1">
        <v>82</v>
      </c>
      <c r="E10" s="1" t="s">
        <v>52</v>
      </c>
      <c r="F10" t="s">
        <v>58</v>
      </c>
    </row>
    <row r="11" spans="1:6" s="1" customFormat="1" x14ac:dyDescent="0.3">
      <c r="A11" s="1" t="s">
        <v>14</v>
      </c>
      <c r="B11" s="1" t="s">
        <v>6</v>
      </c>
      <c r="C11" s="1">
        <v>21.91</v>
      </c>
      <c r="D11" s="1">
        <v>82</v>
      </c>
      <c r="E11" s="1" t="s">
        <v>52</v>
      </c>
      <c r="F11" t="s">
        <v>59</v>
      </c>
    </row>
    <row r="12" spans="1:6" s="1" customFormat="1" x14ac:dyDescent="0.3">
      <c r="A12" s="1" t="s">
        <v>15</v>
      </c>
      <c r="B12" s="1" t="s">
        <v>6</v>
      </c>
      <c r="C12" s="1">
        <v>21.59</v>
      </c>
      <c r="D12" s="1">
        <v>82</v>
      </c>
      <c r="E12" s="1" t="s">
        <v>52</v>
      </c>
      <c r="F12" t="s">
        <v>59</v>
      </c>
    </row>
    <row r="13" spans="1:6" s="1" customFormat="1" x14ac:dyDescent="0.3">
      <c r="A13" s="1" t="s">
        <v>16</v>
      </c>
      <c r="B13" s="1" t="s">
        <v>6</v>
      </c>
      <c r="C13" s="1">
        <v>21.8</v>
      </c>
      <c r="D13" s="1">
        <v>82</v>
      </c>
      <c r="E13" s="1" t="s">
        <v>52</v>
      </c>
      <c r="F13" t="s">
        <v>59</v>
      </c>
    </row>
    <row r="14" spans="1:6" s="1" customFormat="1" x14ac:dyDescent="0.3">
      <c r="A14" s="1" t="s">
        <v>48</v>
      </c>
      <c r="B14" s="1" t="s">
        <v>6</v>
      </c>
      <c r="C14" s="1">
        <v>23.19</v>
      </c>
      <c r="D14" s="1">
        <v>80</v>
      </c>
      <c r="E14" s="1" t="s">
        <v>53</v>
      </c>
      <c r="F14" t="s">
        <v>58</v>
      </c>
    </row>
    <row r="15" spans="1:6" s="1" customFormat="1" x14ac:dyDescent="0.3">
      <c r="A15" s="1" t="s">
        <v>17</v>
      </c>
      <c r="B15" s="1" t="s">
        <v>6</v>
      </c>
      <c r="C15" s="1">
        <v>23.47</v>
      </c>
      <c r="D15" s="1">
        <v>80</v>
      </c>
      <c r="E15" s="1" t="s">
        <v>53</v>
      </c>
      <c r="F15" t="s">
        <v>58</v>
      </c>
    </row>
    <row r="16" spans="1:6" s="1" customFormat="1" x14ac:dyDescent="0.3">
      <c r="A16" s="1" t="s">
        <v>18</v>
      </c>
      <c r="B16" s="1" t="s">
        <v>6</v>
      </c>
      <c r="C16" s="1">
        <v>23.55</v>
      </c>
      <c r="D16" s="1">
        <v>80</v>
      </c>
      <c r="E16" s="1" t="s">
        <v>53</v>
      </c>
      <c r="F16" t="s">
        <v>58</v>
      </c>
    </row>
    <row r="17" spans="1:6" s="1" customFormat="1" x14ac:dyDescent="0.3">
      <c r="A17" s="1" t="s">
        <v>19</v>
      </c>
      <c r="B17" s="1" t="s">
        <v>6</v>
      </c>
      <c r="C17" s="1">
        <v>22.81</v>
      </c>
      <c r="D17" s="1">
        <v>85.5</v>
      </c>
      <c r="E17" s="1" t="s">
        <v>53</v>
      </c>
      <c r="F17" t="s">
        <v>59</v>
      </c>
    </row>
    <row r="18" spans="1:6" s="1" customFormat="1" x14ac:dyDescent="0.3">
      <c r="A18" s="1" t="s">
        <v>20</v>
      </c>
      <c r="B18" s="1" t="s">
        <v>6</v>
      </c>
      <c r="C18" s="1">
        <v>22.26</v>
      </c>
      <c r="D18" s="1">
        <v>85.5</v>
      </c>
      <c r="E18" s="1" t="s">
        <v>53</v>
      </c>
      <c r="F18" t="s">
        <v>59</v>
      </c>
    </row>
    <row r="19" spans="1:6" s="1" customFormat="1" x14ac:dyDescent="0.3">
      <c r="A19" s="1" t="s">
        <v>21</v>
      </c>
      <c r="B19" s="1" t="s">
        <v>6</v>
      </c>
      <c r="C19" s="1">
        <v>22.58</v>
      </c>
      <c r="D19" s="1">
        <v>85.5</v>
      </c>
      <c r="E19" s="1" t="s">
        <v>53</v>
      </c>
      <c r="F19" t="s">
        <v>59</v>
      </c>
    </row>
    <row r="20" spans="1:6" x14ac:dyDescent="0.3">
      <c r="A20" s="1" t="s">
        <v>22</v>
      </c>
      <c r="B20" s="1" t="s">
        <v>6</v>
      </c>
      <c r="C20" s="1">
        <v>23.1</v>
      </c>
      <c r="D20" s="1">
        <v>80</v>
      </c>
      <c r="E20" s="1" t="s">
        <v>54</v>
      </c>
      <c r="F20" t="s">
        <v>58</v>
      </c>
    </row>
    <row r="21" spans="1:6" x14ac:dyDescent="0.3">
      <c r="A21" s="1" t="s">
        <v>23</v>
      </c>
      <c r="B21" s="1" t="s">
        <v>6</v>
      </c>
      <c r="C21" s="1">
        <v>23.32</v>
      </c>
      <c r="D21" s="1">
        <v>80</v>
      </c>
      <c r="E21" s="1" t="s">
        <v>54</v>
      </c>
      <c r="F21" t="s">
        <v>58</v>
      </c>
    </row>
    <row r="22" spans="1:6" x14ac:dyDescent="0.3">
      <c r="A22" s="1" t="s">
        <v>24</v>
      </c>
      <c r="B22" s="1" t="s">
        <v>6</v>
      </c>
      <c r="C22" s="1">
        <v>23.62</v>
      </c>
      <c r="D22" s="1">
        <v>80</v>
      </c>
      <c r="E22" s="1" t="s">
        <v>54</v>
      </c>
      <c r="F22" t="s">
        <v>58</v>
      </c>
    </row>
    <row r="23" spans="1:6" x14ac:dyDescent="0.3">
      <c r="A23" s="1" t="s">
        <v>25</v>
      </c>
      <c r="B23" s="1" t="s">
        <v>6</v>
      </c>
      <c r="C23" s="1">
        <v>22.62</v>
      </c>
      <c r="D23" s="1">
        <v>85.5</v>
      </c>
      <c r="E23" s="1" t="s">
        <v>54</v>
      </c>
      <c r="F23" t="s">
        <v>59</v>
      </c>
    </row>
    <row r="24" spans="1:6" x14ac:dyDescent="0.3">
      <c r="A24" s="1" t="s">
        <v>26</v>
      </c>
      <c r="B24" s="1" t="s">
        <v>6</v>
      </c>
      <c r="C24" s="1">
        <v>22.4</v>
      </c>
      <c r="D24" s="1">
        <v>85.5</v>
      </c>
      <c r="E24" s="1" t="s">
        <v>54</v>
      </c>
      <c r="F24" t="s">
        <v>59</v>
      </c>
    </row>
    <row r="25" spans="1:6" x14ac:dyDescent="0.3">
      <c r="A25" s="1" t="s">
        <v>27</v>
      </c>
      <c r="B25" s="1" t="s">
        <v>6</v>
      </c>
      <c r="C25" s="1">
        <v>22.07</v>
      </c>
      <c r="D25" s="1">
        <v>85.5</v>
      </c>
      <c r="E25" s="1" t="s">
        <v>54</v>
      </c>
      <c r="F25" t="s">
        <v>59</v>
      </c>
    </row>
    <row r="26" spans="1:6" x14ac:dyDescent="0.3">
      <c r="A26" s="1" t="s">
        <v>50</v>
      </c>
      <c r="B26" s="1" t="s">
        <v>6</v>
      </c>
      <c r="C26" s="1">
        <v>27.44</v>
      </c>
      <c r="D26" s="1">
        <v>87</v>
      </c>
      <c r="E26" s="1" t="s">
        <v>55</v>
      </c>
      <c r="F26" t="s">
        <v>58</v>
      </c>
    </row>
    <row r="27" spans="1:6" x14ac:dyDescent="0.3">
      <c r="A27" s="1" t="s">
        <v>28</v>
      </c>
      <c r="B27" s="1" t="s">
        <v>6</v>
      </c>
      <c r="C27" s="1">
        <v>27.04</v>
      </c>
      <c r="D27" s="1">
        <v>87.5</v>
      </c>
      <c r="E27" s="1" t="s">
        <v>55</v>
      </c>
      <c r="F27" t="s">
        <v>58</v>
      </c>
    </row>
    <row r="28" spans="1:6" x14ac:dyDescent="0.3">
      <c r="A28" s="1" t="s">
        <v>29</v>
      </c>
      <c r="B28" s="1" t="s">
        <v>6</v>
      </c>
      <c r="C28" s="1">
        <v>27.16</v>
      </c>
      <c r="D28" s="1">
        <v>87.5</v>
      </c>
      <c r="E28" s="1" t="s">
        <v>55</v>
      </c>
      <c r="F28" t="s">
        <v>58</v>
      </c>
    </row>
    <row r="29" spans="1:6" x14ac:dyDescent="0.3">
      <c r="A29" s="1" t="s">
        <v>30</v>
      </c>
      <c r="B29" s="1" t="s">
        <v>6</v>
      </c>
      <c r="C29" s="1">
        <v>26.05</v>
      </c>
      <c r="D29" s="1">
        <v>88.5</v>
      </c>
      <c r="E29" s="1" t="s">
        <v>55</v>
      </c>
      <c r="F29" t="s">
        <v>59</v>
      </c>
    </row>
    <row r="30" spans="1:6" x14ac:dyDescent="0.3">
      <c r="A30" s="1" t="s">
        <v>31</v>
      </c>
      <c r="B30" s="1" t="s">
        <v>6</v>
      </c>
      <c r="C30" s="1">
        <v>26.45</v>
      </c>
      <c r="D30" s="1">
        <v>87.5</v>
      </c>
      <c r="E30" s="1" t="s">
        <v>55</v>
      </c>
      <c r="F30" t="s">
        <v>59</v>
      </c>
    </row>
    <row r="31" spans="1:6" x14ac:dyDescent="0.3">
      <c r="A31" s="1" t="s">
        <v>32</v>
      </c>
      <c r="B31" s="1" t="s">
        <v>6</v>
      </c>
      <c r="C31" s="1">
        <v>26.26</v>
      </c>
      <c r="D31" s="1">
        <v>87.5</v>
      </c>
      <c r="E31" s="1" t="s">
        <v>55</v>
      </c>
      <c r="F31" t="s">
        <v>59</v>
      </c>
    </row>
    <row r="32" spans="1:6" x14ac:dyDescent="0.3">
      <c r="A32" s="1" t="s">
        <v>39</v>
      </c>
      <c r="B32" s="1" t="s">
        <v>6</v>
      </c>
      <c r="C32" s="1">
        <v>20.07</v>
      </c>
      <c r="D32" s="1">
        <v>79.5</v>
      </c>
      <c r="E32" s="1" t="s">
        <v>49</v>
      </c>
      <c r="F32" t="s">
        <v>57</v>
      </c>
    </row>
    <row r="33" spans="1:6" x14ac:dyDescent="0.3">
      <c r="A33" s="1" t="s">
        <v>40</v>
      </c>
      <c r="B33" s="1" t="s">
        <v>6</v>
      </c>
      <c r="C33" s="1">
        <v>20.05</v>
      </c>
      <c r="D33" s="1">
        <v>79.5</v>
      </c>
      <c r="E33" s="1" t="s">
        <v>49</v>
      </c>
      <c r="F33" t="s">
        <v>57</v>
      </c>
    </row>
    <row r="34" spans="1:6" x14ac:dyDescent="0.3">
      <c r="A34" s="1" t="s">
        <v>41</v>
      </c>
      <c r="B34" s="1" t="s">
        <v>6</v>
      </c>
      <c r="C34" s="1">
        <v>20.09</v>
      </c>
      <c r="D34" s="1">
        <v>79.5</v>
      </c>
      <c r="E34" s="1" t="s">
        <v>49</v>
      </c>
      <c r="F34" t="s">
        <v>57</v>
      </c>
    </row>
    <row r="35" spans="1:6" x14ac:dyDescent="0.3">
      <c r="A35" s="1" t="s">
        <v>42</v>
      </c>
      <c r="B35" s="1" t="s">
        <v>6</v>
      </c>
      <c r="C35" s="1">
        <v>20.09</v>
      </c>
      <c r="D35" s="1">
        <v>79.5</v>
      </c>
      <c r="E35" s="1" t="s">
        <v>49</v>
      </c>
      <c r="F35" t="s">
        <v>56</v>
      </c>
    </row>
    <row r="36" spans="1:6" x14ac:dyDescent="0.3">
      <c r="A36" s="1" t="s">
        <v>43</v>
      </c>
      <c r="B36" s="1" t="s">
        <v>6</v>
      </c>
      <c r="C36" s="1">
        <v>20.079999999999998</v>
      </c>
      <c r="D36" s="1">
        <v>79.5</v>
      </c>
      <c r="E36" s="1" t="s">
        <v>49</v>
      </c>
      <c r="F36" t="s">
        <v>56</v>
      </c>
    </row>
    <row r="37" spans="1:6" x14ac:dyDescent="0.3">
      <c r="A37" s="1" t="s">
        <v>44</v>
      </c>
      <c r="B37" s="1" t="s">
        <v>6</v>
      </c>
      <c r="C37" s="1">
        <v>20.010000000000002</v>
      </c>
      <c r="D37" s="1">
        <v>79.5</v>
      </c>
      <c r="E37" s="1" t="s">
        <v>49</v>
      </c>
      <c r="F37" t="s">
        <v>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3745-0D14-4CC5-813E-F779CF44C8F6}">
  <dimension ref="A1:P13"/>
  <sheetViews>
    <sheetView workbookViewId="0">
      <selection sqref="A1:J13"/>
    </sheetView>
  </sheetViews>
  <sheetFormatPr defaultRowHeight="14" x14ac:dyDescent="0.3"/>
  <cols>
    <col min="1" max="1" width="11.75" bestFit="1" customWidth="1"/>
    <col min="9" max="9" width="12.83203125" style="2" customWidth="1"/>
  </cols>
  <sheetData>
    <row r="1" spans="1:16" s="1" customFormat="1" x14ac:dyDescent="0.3">
      <c r="A1" t="s">
        <v>59</v>
      </c>
      <c r="B1"/>
      <c r="C1" s="3" t="s">
        <v>0</v>
      </c>
      <c r="D1" s="3" t="s">
        <v>1</v>
      </c>
      <c r="E1" s="1" t="s">
        <v>2</v>
      </c>
      <c r="F1"/>
      <c r="G1"/>
      <c r="H1"/>
      <c r="I1" s="2" t="s">
        <v>3</v>
      </c>
      <c r="L1" s="4"/>
      <c r="M1" s="4"/>
      <c r="N1" s="4"/>
      <c r="O1" s="4"/>
      <c r="P1" s="4"/>
    </row>
    <row r="2" spans="1:16" s="1" customFormat="1" x14ac:dyDescent="0.3">
      <c r="A2" t="s">
        <v>46</v>
      </c>
      <c r="B2" t="s">
        <v>4</v>
      </c>
      <c r="C2" s="1">
        <v>20.010000000000002</v>
      </c>
      <c r="D2" s="3">
        <f>AVERAGE(C2:C4)</f>
        <v>19.959999999999997</v>
      </c>
      <c r="E2" s="1">
        <v>20.62</v>
      </c>
      <c r="F2" s="3">
        <f>E2-D2</f>
        <v>0.66000000000000369</v>
      </c>
      <c r="G2" s="3">
        <f>AVERAGE(F2:F4)</f>
        <v>0.58000000000000307</v>
      </c>
      <c r="H2" s="3">
        <f>F2-G2</f>
        <v>8.0000000000000626E-2</v>
      </c>
      <c r="I2" s="2">
        <f>POWER(2,-H2)</f>
        <v>0.94605764672559545</v>
      </c>
      <c r="J2" s="21" t="s">
        <v>61</v>
      </c>
      <c r="N2" s="4"/>
      <c r="O2" s="4"/>
      <c r="P2" s="4"/>
    </row>
    <row r="3" spans="1:16" s="1" customFormat="1" x14ac:dyDescent="0.3">
      <c r="A3" t="s">
        <v>46</v>
      </c>
      <c r="B3" t="s">
        <v>4</v>
      </c>
      <c r="C3" s="1">
        <v>19.79</v>
      </c>
      <c r="D3" s="3">
        <f>AVERAGE(C2:C4)</f>
        <v>19.959999999999997</v>
      </c>
      <c r="E3" s="1">
        <v>20.58</v>
      </c>
      <c r="F3" s="3">
        <f t="shared" ref="F3:F7" si="0">E3-D3</f>
        <v>0.62000000000000099</v>
      </c>
      <c r="G3" s="3">
        <f>G2</f>
        <v>0.58000000000000307</v>
      </c>
      <c r="H3" s="3">
        <f t="shared" ref="H3:H7" si="1">F3-G3</f>
        <v>3.9999999999997926E-2</v>
      </c>
      <c r="I3" s="2">
        <f t="shared" ref="I3:I7" si="2">POWER(2,-H3)</f>
        <v>0.97265494741228697</v>
      </c>
      <c r="J3" s="21"/>
      <c r="N3" s="4"/>
      <c r="O3" s="4"/>
      <c r="P3" s="4"/>
    </row>
    <row r="4" spans="1:16" s="1" customFormat="1" x14ac:dyDescent="0.3">
      <c r="A4" t="s">
        <v>46</v>
      </c>
      <c r="B4" t="s">
        <v>4</v>
      </c>
      <c r="C4" s="1">
        <v>20.079999999999998</v>
      </c>
      <c r="D4" s="3">
        <f>AVERAGE(C2:C4)</f>
        <v>19.959999999999997</v>
      </c>
      <c r="E4" s="1">
        <v>20.420000000000002</v>
      </c>
      <c r="F4" s="3">
        <f t="shared" si="0"/>
        <v>0.46000000000000441</v>
      </c>
      <c r="G4" s="3">
        <f t="shared" ref="G4:G13" si="3">G3</f>
        <v>0.58000000000000307</v>
      </c>
      <c r="H4" s="3">
        <f t="shared" si="1"/>
        <v>-0.11999999999999866</v>
      </c>
      <c r="I4" s="2">
        <f t="shared" si="2"/>
        <v>1.0867348625260571</v>
      </c>
      <c r="J4" s="21"/>
      <c r="N4" s="4"/>
      <c r="O4" s="4"/>
      <c r="P4" s="4"/>
    </row>
    <row r="5" spans="1:16" s="1" customFormat="1" x14ac:dyDescent="0.3">
      <c r="A5" t="s">
        <v>45</v>
      </c>
      <c r="B5" t="s">
        <v>4</v>
      </c>
      <c r="C5" s="1">
        <v>19.88</v>
      </c>
      <c r="D5" s="3">
        <f>AVERAGE(C5:C7)</f>
        <v>19.849999999999998</v>
      </c>
      <c r="E5" s="1">
        <v>20.3</v>
      </c>
      <c r="F5" s="3">
        <f t="shared" si="0"/>
        <v>0.45000000000000284</v>
      </c>
      <c r="G5" s="3">
        <f t="shared" si="3"/>
        <v>0.58000000000000307</v>
      </c>
      <c r="H5" s="3">
        <f t="shared" si="1"/>
        <v>-0.13000000000000023</v>
      </c>
      <c r="I5" s="2">
        <f t="shared" si="2"/>
        <v>1.0942937012607397</v>
      </c>
      <c r="J5" s="21"/>
      <c r="L5" s="4"/>
      <c r="M5" s="4"/>
      <c r="N5" s="4"/>
      <c r="O5" s="4"/>
      <c r="P5" s="4"/>
    </row>
    <row r="6" spans="1:16" s="1" customFormat="1" x14ac:dyDescent="0.3">
      <c r="A6" t="s">
        <v>45</v>
      </c>
      <c r="B6" t="s">
        <v>4</v>
      </c>
      <c r="C6" s="1">
        <v>19.78</v>
      </c>
      <c r="D6" s="3">
        <f>AVERAGE(C5:C7)</f>
        <v>19.849999999999998</v>
      </c>
      <c r="E6" s="1">
        <v>20.65</v>
      </c>
      <c r="F6" s="3">
        <f t="shared" si="0"/>
        <v>0.80000000000000071</v>
      </c>
      <c r="G6" s="3">
        <f t="shared" si="3"/>
        <v>0.58000000000000307</v>
      </c>
      <c r="H6" s="3">
        <f t="shared" si="1"/>
        <v>0.21999999999999764</v>
      </c>
      <c r="I6" s="2">
        <f t="shared" si="2"/>
        <v>0.85856543643775529</v>
      </c>
      <c r="J6" s="21"/>
      <c r="L6" s="4"/>
      <c r="M6" s="4"/>
      <c r="N6" s="4"/>
      <c r="O6" s="4"/>
      <c r="P6" s="4"/>
    </row>
    <row r="7" spans="1:16" s="1" customFormat="1" x14ac:dyDescent="0.3">
      <c r="A7" t="s">
        <v>45</v>
      </c>
      <c r="B7" t="s">
        <v>4</v>
      </c>
      <c r="C7" s="1">
        <v>19.89</v>
      </c>
      <c r="D7" s="3">
        <f>AVERAGE(C5:C7)</f>
        <v>19.849999999999998</v>
      </c>
      <c r="E7" s="1">
        <v>20.28</v>
      </c>
      <c r="F7" s="3">
        <f t="shared" si="0"/>
        <v>0.43000000000000327</v>
      </c>
      <c r="G7" s="3">
        <f t="shared" si="3"/>
        <v>0.58000000000000307</v>
      </c>
      <c r="H7" s="3">
        <f t="shared" si="1"/>
        <v>-0.1499999999999998</v>
      </c>
      <c r="I7" s="2">
        <f t="shared" si="2"/>
        <v>1.1095694720678448</v>
      </c>
      <c r="J7" s="21"/>
      <c r="L7" s="4"/>
      <c r="M7" s="4"/>
      <c r="N7" s="4"/>
      <c r="O7" s="4"/>
    </row>
    <row r="8" spans="1:16" s="1" customFormat="1" x14ac:dyDescent="0.3">
      <c r="A8" t="s">
        <v>66</v>
      </c>
      <c r="B8" t="s">
        <v>4</v>
      </c>
      <c r="C8" s="1">
        <v>19.989999999999998</v>
      </c>
      <c r="D8" s="3">
        <f>AVERAGE(C8:C10)</f>
        <v>19.906666666666666</v>
      </c>
      <c r="E8" s="1">
        <v>22.02</v>
      </c>
      <c r="F8" s="3">
        <f>E8-D8</f>
        <v>2.1133333333333333</v>
      </c>
      <c r="G8" s="3">
        <f>G7</f>
        <v>0.58000000000000307</v>
      </c>
      <c r="H8" s="3">
        <f>F8-G8</f>
        <v>1.5333333333333301</v>
      </c>
      <c r="I8" s="2">
        <f>POWER(2,-H8)</f>
        <v>0.34547821999194483</v>
      </c>
      <c r="J8" s="21"/>
      <c r="M8" s="4"/>
      <c r="N8" s="4"/>
      <c r="O8" s="4"/>
    </row>
    <row r="9" spans="1:16" s="1" customFormat="1" x14ac:dyDescent="0.3">
      <c r="A9" t="s">
        <v>66</v>
      </c>
      <c r="B9" t="s">
        <v>4</v>
      </c>
      <c r="C9" s="1">
        <v>19.78</v>
      </c>
      <c r="D9" s="3">
        <f>AVERAGE(C8:C10)</f>
        <v>19.906666666666666</v>
      </c>
      <c r="E9" s="1">
        <v>22.19</v>
      </c>
      <c r="F9" s="3">
        <f t="shared" ref="F9:F10" si="4">E9-D9</f>
        <v>2.283333333333335</v>
      </c>
      <c r="G9" s="3">
        <f t="shared" si="3"/>
        <v>0.58000000000000307</v>
      </c>
      <c r="H9" s="3">
        <f t="shared" ref="H9:H10" si="5">F9-G9</f>
        <v>1.7033333333333318</v>
      </c>
      <c r="I9" s="2">
        <f t="shared" ref="I9:I10" si="6">POWER(2,-H9)</f>
        <v>0.30707578734229402</v>
      </c>
      <c r="J9" s="21"/>
      <c r="M9" s="4"/>
      <c r="N9" s="4"/>
      <c r="O9" s="4"/>
    </row>
    <row r="10" spans="1:16" s="1" customFormat="1" x14ac:dyDescent="0.3">
      <c r="A10" t="s">
        <v>66</v>
      </c>
      <c r="B10" t="s">
        <v>4</v>
      </c>
      <c r="C10" s="1">
        <v>19.95</v>
      </c>
      <c r="D10" s="3">
        <f>AVERAGE(C8:C10)</f>
        <v>19.906666666666666</v>
      </c>
      <c r="E10" s="1">
        <v>22.47</v>
      </c>
      <c r="F10" s="3">
        <f t="shared" si="4"/>
        <v>2.5633333333333326</v>
      </c>
      <c r="G10" s="3">
        <f t="shared" si="3"/>
        <v>0.58000000000000307</v>
      </c>
      <c r="H10" s="3">
        <f t="shared" si="5"/>
        <v>1.9833333333333294</v>
      </c>
      <c r="I10" s="2">
        <f t="shared" si="6"/>
        <v>0.25290486007548135</v>
      </c>
      <c r="J10" s="21"/>
      <c r="M10" s="4"/>
      <c r="N10" s="4"/>
      <c r="O10" s="4"/>
    </row>
    <row r="11" spans="1:16" x14ac:dyDescent="0.3">
      <c r="A11" t="s">
        <v>65</v>
      </c>
      <c r="B11" t="s">
        <v>4</v>
      </c>
      <c r="C11" s="1">
        <v>20</v>
      </c>
      <c r="D11" s="3">
        <f>AVERAGE(C11:C13)</f>
        <v>19.959999999999997</v>
      </c>
      <c r="E11" s="1">
        <v>21.32</v>
      </c>
      <c r="F11" s="3">
        <f>E11-D11</f>
        <v>1.360000000000003</v>
      </c>
      <c r="G11" s="3">
        <f>G10</f>
        <v>0.58000000000000307</v>
      </c>
      <c r="H11" s="3">
        <f>F11-G11</f>
        <v>0.77999999999999992</v>
      </c>
      <c r="I11" s="2">
        <f>POWER(2,-H11)</f>
        <v>0.58236679323422802</v>
      </c>
      <c r="J11" s="21"/>
    </row>
    <row r="12" spans="1:16" x14ac:dyDescent="0.3">
      <c r="A12" t="s">
        <v>65</v>
      </c>
      <c r="B12" t="s">
        <v>4</v>
      </c>
      <c r="C12" s="1">
        <v>20.02</v>
      </c>
      <c r="D12" s="3">
        <f>AVERAGE(C11:C13)</f>
        <v>19.959999999999997</v>
      </c>
      <c r="E12" s="1">
        <v>21.01</v>
      </c>
      <c r="F12" s="3">
        <f t="shared" ref="F12:F13" si="7">E12-D12</f>
        <v>1.0500000000000043</v>
      </c>
      <c r="G12" s="3">
        <f t="shared" si="3"/>
        <v>0.58000000000000307</v>
      </c>
      <c r="H12" s="3">
        <f t="shared" ref="H12:H13" si="8">F12-G12</f>
        <v>0.47000000000000119</v>
      </c>
      <c r="I12" s="2">
        <f t="shared" ref="I12:I13" si="9">POWER(2,-H12)</f>
        <v>0.72196459776124755</v>
      </c>
      <c r="J12" s="21"/>
    </row>
    <row r="13" spans="1:16" x14ac:dyDescent="0.3">
      <c r="A13" t="s">
        <v>65</v>
      </c>
      <c r="B13" t="s">
        <v>4</v>
      </c>
      <c r="C13" s="1">
        <v>19.86</v>
      </c>
      <c r="D13" s="3">
        <f>AVERAGE(C11:C13)</f>
        <v>19.959999999999997</v>
      </c>
      <c r="E13" s="1">
        <v>21.26</v>
      </c>
      <c r="F13" s="3">
        <f t="shared" si="7"/>
        <v>1.3000000000000043</v>
      </c>
      <c r="G13" s="3">
        <f t="shared" si="3"/>
        <v>0.58000000000000307</v>
      </c>
      <c r="H13" s="3">
        <f t="shared" si="8"/>
        <v>0.72000000000000119</v>
      </c>
      <c r="I13" s="2">
        <f t="shared" si="9"/>
        <v>0.60709744219752293</v>
      </c>
      <c r="J13" s="21"/>
    </row>
  </sheetData>
  <mergeCells count="1">
    <mergeCell ref="J2:J1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305B-623C-4B1C-BF7E-E6DA4DEF363C}">
  <dimension ref="A1:F25"/>
  <sheetViews>
    <sheetView workbookViewId="0">
      <selection activeCell="I16" sqref="I15:I16"/>
    </sheetView>
  </sheetViews>
  <sheetFormatPr defaultRowHeight="14" x14ac:dyDescent="0.3"/>
  <sheetData>
    <row r="1" spans="1:6" s="1" customFormat="1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s="1" customFormat="1" x14ac:dyDescent="0.3">
      <c r="A2" s="1" t="s">
        <v>5</v>
      </c>
      <c r="B2" s="1" t="s">
        <v>6</v>
      </c>
      <c r="C2" s="1">
        <v>20.62</v>
      </c>
      <c r="D2" s="1">
        <v>88</v>
      </c>
      <c r="E2" s="1" t="s">
        <v>52</v>
      </c>
      <c r="F2" t="s">
        <v>46</v>
      </c>
    </row>
    <row r="3" spans="1:6" s="1" customFormat="1" x14ac:dyDescent="0.3">
      <c r="A3" s="1" t="s">
        <v>7</v>
      </c>
      <c r="B3" s="1" t="s">
        <v>6</v>
      </c>
      <c r="C3" s="1">
        <v>20.58</v>
      </c>
      <c r="D3" s="1">
        <v>87.5</v>
      </c>
      <c r="E3" s="1" t="s">
        <v>52</v>
      </c>
      <c r="F3" t="s">
        <v>46</v>
      </c>
    </row>
    <row r="4" spans="1:6" s="1" customFormat="1" x14ac:dyDescent="0.3">
      <c r="A4" s="1" t="s">
        <v>8</v>
      </c>
      <c r="B4" s="1" t="s">
        <v>6</v>
      </c>
      <c r="C4" s="1">
        <v>20.420000000000002</v>
      </c>
      <c r="D4" s="1">
        <v>87.5</v>
      </c>
      <c r="E4" s="1" t="s">
        <v>52</v>
      </c>
      <c r="F4" t="s">
        <v>46</v>
      </c>
    </row>
    <row r="5" spans="1:6" s="1" customFormat="1" x14ac:dyDescent="0.3">
      <c r="A5" s="1" t="s">
        <v>9</v>
      </c>
      <c r="B5" s="1" t="s">
        <v>6</v>
      </c>
      <c r="C5" s="1">
        <v>20.3</v>
      </c>
      <c r="D5" s="1">
        <v>87.5</v>
      </c>
      <c r="E5" s="1" t="s">
        <v>52</v>
      </c>
      <c r="F5" t="s">
        <v>45</v>
      </c>
    </row>
    <row r="6" spans="1:6" s="1" customFormat="1" x14ac:dyDescent="0.3">
      <c r="A6" s="1" t="s">
        <v>10</v>
      </c>
      <c r="B6" s="1" t="s">
        <v>6</v>
      </c>
      <c r="C6" s="1">
        <v>20.65</v>
      </c>
      <c r="D6" s="1">
        <v>88</v>
      </c>
      <c r="E6" s="1" t="s">
        <v>52</v>
      </c>
      <c r="F6" t="s">
        <v>45</v>
      </c>
    </row>
    <row r="7" spans="1:6" s="1" customFormat="1" x14ac:dyDescent="0.3">
      <c r="A7" s="1" t="s">
        <v>11</v>
      </c>
      <c r="B7" s="1" t="s">
        <v>6</v>
      </c>
      <c r="C7" s="1">
        <v>20.28</v>
      </c>
      <c r="D7" s="1">
        <v>88</v>
      </c>
      <c r="E7" s="1" t="s">
        <v>52</v>
      </c>
      <c r="F7" t="s">
        <v>45</v>
      </c>
    </row>
    <row r="8" spans="1:6" s="1" customFormat="1" x14ac:dyDescent="0.3">
      <c r="A8" s="1" t="s">
        <v>12</v>
      </c>
      <c r="B8" s="1" t="s">
        <v>6</v>
      </c>
      <c r="C8" s="1">
        <v>22.02</v>
      </c>
      <c r="D8" s="1">
        <v>80</v>
      </c>
      <c r="E8" s="1" t="s">
        <v>52</v>
      </c>
      <c r="F8" t="s">
        <v>66</v>
      </c>
    </row>
    <row r="9" spans="1:6" s="1" customFormat="1" x14ac:dyDescent="0.3">
      <c r="A9" s="1" t="s">
        <v>13</v>
      </c>
      <c r="B9" s="1" t="s">
        <v>6</v>
      </c>
      <c r="C9" s="1">
        <v>22.19</v>
      </c>
      <c r="D9" s="1">
        <v>79.5</v>
      </c>
      <c r="E9" s="1" t="s">
        <v>52</v>
      </c>
      <c r="F9" t="s">
        <v>66</v>
      </c>
    </row>
    <row r="10" spans="1:6" s="1" customFormat="1" x14ac:dyDescent="0.3">
      <c r="A10" s="1" t="s">
        <v>47</v>
      </c>
      <c r="B10" s="1" t="s">
        <v>6</v>
      </c>
      <c r="C10" s="1">
        <v>22.47</v>
      </c>
      <c r="D10" s="1">
        <v>80</v>
      </c>
      <c r="E10" s="1" t="s">
        <v>52</v>
      </c>
      <c r="F10" t="s">
        <v>66</v>
      </c>
    </row>
    <row r="11" spans="1:6" s="1" customFormat="1" x14ac:dyDescent="0.3">
      <c r="A11" s="1" t="s">
        <v>14</v>
      </c>
      <c r="B11" s="1" t="s">
        <v>6</v>
      </c>
      <c r="C11" s="1">
        <v>21.32</v>
      </c>
      <c r="D11" s="1">
        <v>79.5</v>
      </c>
      <c r="E11" s="1" t="s">
        <v>52</v>
      </c>
      <c r="F11" t="s">
        <v>65</v>
      </c>
    </row>
    <row r="12" spans="1:6" s="1" customFormat="1" x14ac:dyDescent="0.3">
      <c r="A12" s="1" t="s">
        <v>15</v>
      </c>
      <c r="B12" s="1" t="s">
        <v>6</v>
      </c>
      <c r="C12" s="1">
        <v>21.01</v>
      </c>
      <c r="D12" s="1">
        <v>79.5</v>
      </c>
      <c r="E12" s="1" t="s">
        <v>52</v>
      </c>
      <c r="F12" t="s">
        <v>65</v>
      </c>
    </row>
    <row r="13" spans="1:6" s="1" customFormat="1" x14ac:dyDescent="0.3">
      <c r="A13" s="1" t="s">
        <v>16</v>
      </c>
      <c r="B13" s="1" t="s">
        <v>6</v>
      </c>
      <c r="C13" s="1">
        <v>21.26</v>
      </c>
      <c r="D13" s="1">
        <v>79</v>
      </c>
      <c r="E13" s="1" t="s">
        <v>52</v>
      </c>
      <c r="F13" t="s">
        <v>65</v>
      </c>
    </row>
    <row r="14" spans="1:6" s="1" customFormat="1" x14ac:dyDescent="0.3">
      <c r="A14" s="1" t="s">
        <v>48</v>
      </c>
      <c r="B14" s="1" t="s">
        <v>6</v>
      </c>
      <c r="C14" s="1">
        <v>20.010000000000002</v>
      </c>
      <c r="D14" s="1">
        <v>79.5</v>
      </c>
      <c r="E14" s="1" t="s">
        <v>49</v>
      </c>
      <c r="F14" t="s">
        <v>46</v>
      </c>
    </row>
    <row r="15" spans="1:6" s="1" customFormat="1" x14ac:dyDescent="0.3">
      <c r="A15" s="1" t="s">
        <v>17</v>
      </c>
      <c r="B15" s="1" t="s">
        <v>6</v>
      </c>
      <c r="C15" s="1">
        <v>19.79</v>
      </c>
      <c r="D15" s="1">
        <v>79.5</v>
      </c>
      <c r="E15" s="1" t="s">
        <v>49</v>
      </c>
      <c r="F15" t="s">
        <v>46</v>
      </c>
    </row>
    <row r="16" spans="1:6" s="1" customFormat="1" x14ac:dyDescent="0.3">
      <c r="A16" s="1" t="s">
        <v>18</v>
      </c>
      <c r="B16" s="1" t="s">
        <v>6</v>
      </c>
      <c r="C16" s="1">
        <v>20.079999999999998</v>
      </c>
      <c r="D16" s="1">
        <v>79.5</v>
      </c>
      <c r="E16" s="1" t="s">
        <v>49</v>
      </c>
      <c r="F16" t="s">
        <v>46</v>
      </c>
    </row>
    <row r="17" spans="1:6" s="1" customFormat="1" x14ac:dyDescent="0.3">
      <c r="A17" s="1" t="s">
        <v>19</v>
      </c>
      <c r="B17" s="1" t="s">
        <v>6</v>
      </c>
      <c r="C17" s="1">
        <v>19.88</v>
      </c>
      <c r="D17" s="1">
        <v>79.5</v>
      </c>
      <c r="E17" s="1" t="s">
        <v>49</v>
      </c>
      <c r="F17" t="s">
        <v>45</v>
      </c>
    </row>
    <row r="18" spans="1:6" s="1" customFormat="1" x14ac:dyDescent="0.3">
      <c r="A18" s="1" t="s">
        <v>20</v>
      </c>
      <c r="B18" s="1" t="s">
        <v>6</v>
      </c>
      <c r="C18" s="1">
        <v>19.78</v>
      </c>
      <c r="D18" s="1">
        <v>79.5</v>
      </c>
      <c r="E18" s="1" t="s">
        <v>49</v>
      </c>
      <c r="F18" t="s">
        <v>45</v>
      </c>
    </row>
    <row r="19" spans="1:6" s="1" customFormat="1" x14ac:dyDescent="0.3">
      <c r="A19" s="1" t="s">
        <v>21</v>
      </c>
      <c r="B19" s="1" t="s">
        <v>6</v>
      </c>
      <c r="C19" s="1">
        <v>19.89</v>
      </c>
      <c r="D19" s="1">
        <v>79.5</v>
      </c>
      <c r="E19" s="1" t="s">
        <v>49</v>
      </c>
      <c r="F19" t="s">
        <v>45</v>
      </c>
    </row>
    <row r="20" spans="1:6" x14ac:dyDescent="0.3">
      <c r="A20" s="1" t="s">
        <v>22</v>
      </c>
      <c r="B20" s="1" t="s">
        <v>6</v>
      </c>
      <c r="C20" s="1">
        <v>19.989999999999998</v>
      </c>
      <c r="D20" s="1">
        <v>79.5</v>
      </c>
      <c r="E20" s="1" t="s">
        <v>49</v>
      </c>
      <c r="F20" t="s">
        <v>66</v>
      </c>
    </row>
    <row r="21" spans="1:6" x14ac:dyDescent="0.3">
      <c r="A21" s="1" t="s">
        <v>23</v>
      </c>
      <c r="B21" s="1" t="s">
        <v>6</v>
      </c>
      <c r="C21" s="1">
        <v>19.78</v>
      </c>
      <c r="D21" s="1">
        <v>79.5</v>
      </c>
      <c r="E21" s="1" t="s">
        <v>49</v>
      </c>
      <c r="F21" t="s">
        <v>66</v>
      </c>
    </row>
    <row r="22" spans="1:6" x14ac:dyDescent="0.3">
      <c r="A22" s="1" t="s">
        <v>24</v>
      </c>
      <c r="B22" s="1" t="s">
        <v>6</v>
      </c>
      <c r="C22" s="1">
        <v>19.95</v>
      </c>
      <c r="D22" s="1">
        <v>79.5</v>
      </c>
      <c r="E22" s="1" t="s">
        <v>49</v>
      </c>
      <c r="F22" t="s">
        <v>66</v>
      </c>
    </row>
    <row r="23" spans="1:6" x14ac:dyDescent="0.3">
      <c r="A23" s="1" t="s">
        <v>25</v>
      </c>
      <c r="B23" s="1" t="s">
        <v>6</v>
      </c>
      <c r="C23" s="1">
        <v>20</v>
      </c>
      <c r="D23" s="1">
        <v>79.5</v>
      </c>
      <c r="E23" s="1" t="s">
        <v>49</v>
      </c>
      <c r="F23" t="s">
        <v>65</v>
      </c>
    </row>
    <row r="24" spans="1:6" x14ac:dyDescent="0.3">
      <c r="A24" s="1" t="s">
        <v>26</v>
      </c>
      <c r="B24" s="1" t="s">
        <v>6</v>
      </c>
      <c r="C24" s="1">
        <v>20.02</v>
      </c>
      <c r="D24" s="1">
        <v>79.5</v>
      </c>
      <c r="E24" s="1" t="s">
        <v>49</v>
      </c>
      <c r="F24" t="s">
        <v>65</v>
      </c>
    </row>
    <row r="25" spans="1:6" x14ac:dyDescent="0.3">
      <c r="A25" s="1" t="s">
        <v>27</v>
      </c>
      <c r="B25" s="1" t="s">
        <v>6</v>
      </c>
      <c r="C25" s="1">
        <v>19.86</v>
      </c>
      <c r="D25" s="1">
        <v>79.5</v>
      </c>
      <c r="E25" s="1" t="s">
        <v>49</v>
      </c>
      <c r="F25" t="s">
        <v>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A26B-6C4E-47AF-9EE8-E42BBEDF5C0D}">
  <dimension ref="A1:R44"/>
  <sheetViews>
    <sheetView zoomScaleNormal="100" workbookViewId="0">
      <selection sqref="A1:H41"/>
    </sheetView>
  </sheetViews>
  <sheetFormatPr defaultColWidth="9" defaultRowHeight="14" x14ac:dyDescent="0.3"/>
  <cols>
    <col min="1" max="1" width="9.58203125" style="7" bestFit="1" customWidth="1"/>
    <col min="2" max="3" width="9" style="7"/>
    <col min="4" max="4" width="12.75" style="7" bestFit="1" customWidth="1"/>
    <col min="5" max="5" width="12.08203125" style="7" bestFit="1" customWidth="1"/>
    <col min="6" max="6" width="11.5" style="7" customWidth="1"/>
    <col min="7" max="9" width="9" style="7"/>
    <col min="10" max="10" width="11.5" style="7" bestFit="1" customWidth="1"/>
    <col min="11" max="14" width="9" style="7"/>
    <col min="15" max="15" width="13" style="7" bestFit="1" customWidth="1"/>
    <col min="16" max="18" width="9" style="7"/>
    <col min="19" max="19" width="13" style="7" bestFit="1" customWidth="1"/>
    <col min="20" max="16384" width="9" style="7"/>
  </cols>
  <sheetData>
    <row r="1" spans="1:13" x14ac:dyDescent="0.3">
      <c r="A1" s="7" t="s">
        <v>67</v>
      </c>
      <c r="B1" s="7" t="s">
        <v>46</v>
      </c>
      <c r="C1" s="7" t="s">
        <v>45</v>
      </c>
      <c r="D1" s="8" t="s">
        <v>66</v>
      </c>
      <c r="M1" s="8"/>
    </row>
    <row r="2" spans="1:13" x14ac:dyDescent="0.3">
      <c r="A2" s="7" t="s">
        <v>68</v>
      </c>
      <c r="B2" s="7">
        <v>0.1401</v>
      </c>
      <c r="C2" s="7">
        <v>0.46460000000000001</v>
      </c>
      <c r="D2" s="7">
        <v>0.42530000000000001</v>
      </c>
    </row>
    <row r="3" spans="1:13" x14ac:dyDescent="0.3">
      <c r="B3" s="7">
        <v>0.14760000000000001</v>
      </c>
      <c r="C3" s="7">
        <v>0.43659999999999999</v>
      </c>
      <c r="D3" s="7">
        <v>0.4617</v>
      </c>
    </row>
    <row r="4" spans="1:13" x14ac:dyDescent="0.3">
      <c r="B4" s="7">
        <v>0.1404</v>
      </c>
      <c r="C4" s="7">
        <v>0.4209</v>
      </c>
      <c r="D4" s="7">
        <v>0.45019999999999999</v>
      </c>
    </row>
    <row r="5" spans="1:13" x14ac:dyDescent="0.3">
      <c r="B5" s="7">
        <f>AVERAGE(B2:B4)</f>
        <v>0.14270000000000002</v>
      </c>
    </row>
    <row r="6" spans="1:13" x14ac:dyDescent="0.3">
      <c r="A6" s="7" t="s">
        <v>69</v>
      </c>
      <c r="C6" s="7">
        <f t="shared" ref="C6:D8" si="0">C2-$B$5</f>
        <v>0.32189999999999996</v>
      </c>
      <c r="D6" s="7">
        <f t="shared" si="0"/>
        <v>0.28259999999999996</v>
      </c>
    </row>
    <row r="7" spans="1:13" x14ac:dyDescent="0.3">
      <c r="C7" s="7">
        <f t="shared" si="0"/>
        <v>0.29389999999999994</v>
      </c>
      <c r="D7" s="7">
        <f t="shared" si="0"/>
        <v>0.31899999999999995</v>
      </c>
    </row>
    <row r="8" spans="1:13" x14ac:dyDescent="0.3">
      <c r="C8" s="7">
        <f t="shared" si="0"/>
        <v>0.2782</v>
      </c>
      <c r="D8" s="7">
        <f t="shared" si="0"/>
        <v>0.3075</v>
      </c>
    </row>
    <row r="10" spans="1:13" x14ac:dyDescent="0.3">
      <c r="A10" s="7" t="s">
        <v>70</v>
      </c>
      <c r="B10" s="7" t="s">
        <v>46</v>
      </c>
      <c r="C10" s="7" t="s">
        <v>45</v>
      </c>
      <c r="D10" s="8" t="s">
        <v>66</v>
      </c>
      <c r="M10" s="8"/>
    </row>
    <row r="11" spans="1:13" x14ac:dyDescent="0.3">
      <c r="A11" s="7" t="s">
        <v>68</v>
      </c>
      <c r="B11" s="7">
        <v>0.14080000000000001</v>
      </c>
      <c r="C11" s="7">
        <v>0.7127</v>
      </c>
      <c r="D11" s="7">
        <v>0.65759999999999996</v>
      </c>
    </row>
    <row r="12" spans="1:13" x14ac:dyDescent="0.3">
      <c r="B12" s="7">
        <v>0.1479</v>
      </c>
      <c r="C12" s="7">
        <v>0.70609999999999995</v>
      </c>
      <c r="D12" s="7">
        <v>0.57230000000000003</v>
      </c>
    </row>
    <row r="13" spans="1:13" x14ac:dyDescent="0.3">
      <c r="B13" s="7">
        <v>0.14749999999999999</v>
      </c>
      <c r="C13" s="7">
        <v>0.7268</v>
      </c>
      <c r="D13" s="7">
        <v>0.62509999999999999</v>
      </c>
    </row>
    <row r="14" spans="1:13" x14ac:dyDescent="0.3">
      <c r="B14" s="7">
        <f>AVERAGE(B11:B13)</f>
        <v>0.1454</v>
      </c>
    </row>
    <row r="15" spans="1:13" x14ac:dyDescent="0.3">
      <c r="A15" s="7" t="s">
        <v>69</v>
      </c>
      <c r="C15" s="9">
        <f>C11-$B$14</f>
        <v>0.56730000000000003</v>
      </c>
      <c r="D15" s="9">
        <f>D11-$B$14</f>
        <v>0.51219999999999999</v>
      </c>
    </row>
    <row r="16" spans="1:13" x14ac:dyDescent="0.3">
      <c r="C16" s="9">
        <f t="shared" ref="C16:D17" si="1">C12-$B$14</f>
        <v>0.56069999999999998</v>
      </c>
      <c r="D16" s="9">
        <f t="shared" si="1"/>
        <v>0.42690000000000006</v>
      </c>
    </row>
    <row r="17" spans="1:13" x14ac:dyDescent="0.3">
      <c r="C17" s="9">
        <f t="shared" si="1"/>
        <v>0.58140000000000003</v>
      </c>
      <c r="D17" s="9">
        <f>D13-$B$14</f>
        <v>0.47970000000000002</v>
      </c>
    </row>
    <row r="19" spans="1:13" x14ac:dyDescent="0.3">
      <c r="A19" s="7" t="s">
        <v>71</v>
      </c>
      <c r="B19" s="7" t="s">
        <v>46</v>
      </c>
      <c r="C19" s="7" t="s">
        <v>45</v>
      </c>
      <c r="D19" s="8" t="s">
        <v>66</v>
      </c>
      <c r="M19" s="8"/>
    </row>
    <row r="20" spans="1:13" x14ac:dyDescent="0.3">
      <c r="A20" s="7" t="s">
        <v>68</v>
      </c>
      <c r="B20" s="7">
        <v>0.14019999999999999</v>
      </c>
      <c r="C20" s="7">
        <v>0.98299999999999998</v>
      </c>
      <c r="D20" s="7">
        <v>0.68030000000000002</v>
      </c>
    </row>
    <row r="21" spans="1:13" x14ac:dyDescent="0.3">
      <c r="B21" s="7">
        <v>0.1431</v>
      </c>
      <c r="C21" s="7">
        <v>0.87019999999999997</v>
      </c>
      <c r="D21" s="7">
        <v>0.77480000000000004</v>
      </c>
    </row>
    <row r="22" spans="1:13" x14ac:dyDescent="0.3">
      <c r="B22" s="7">
        <v>0.14130000000000001</v>
      </c>
      <c r="C22" s="7">
        <v>0.93410000000000004</v>
      </c>
      <c r="D22" s="7">
        <v>0.74629999999999996</v>
      </c>
    </row>
    <row r="23" spans="1:13" x14ac:dyDescent="0.3">
      <c r="B23" s="7">
        <f>AVERAGE(B20:B22)</f>
        <v>0.14153333333333332</v>
      </c>
    </row>
    <row r="24" spans="1:13" x14ac:dyDescent="0.3">
      <c r="A24" s="7" t="s">
        <v>69</v>
      </c>
      <c r="C24" s="7">
        <f>C20-$B$23</f>
        <v>0.8414666666666667</v>
      </c>
      <c r="D24" s="7">
        <f>D20-$B$23</f>
        <v>0.53876666666666673</v>
      </c>
    </row>
    <row r="25" spans="1:13" x14ac:dyDescent="0.3">
      <c r="C25" s="7">
        <f t="shared" ref="C25:D26" si="2">C21-$B$23</f>
        <v>0.72866666666666668</v>
      </c>
      <c r="D25" s="7">
        <f t="shared" si="2"/>
        <v>0.63326666666666676</v>
      </c>
    </row>
    <row r="26" spans="1:13" x14ac:dyDescent="0.3">
      <c r="C26" s="7">
        <f t="shared" si="2"/>
        <v>0.79256666666666675</v>
      </c>
      <c r="D26" s="7">
        <f t="shared" si="2"/>
        <v>0.60476666666666667</v>
      </c>
    </row>
    <row r="28" spans="1:13" x14ac:dyDescent="0.3">
      <c r="A28" s="7" t="s">
        <v>72</v>
      </c>
      <c r="B28" s="7" t="s">
        <v>46</v>
      </c>
      <c r="C28" s="7" t="s">
        <v>45</v>
      </c>
      <c r="D28" s="8" t="s">
        <v>66</v>
      </c>
      <c r="M28" s="8"/>
    </row>
    <row r="29" spans="1:13" x14ac:dyDescent="0.3">
      <c r="A29" s="7" t="s">
        <v>68</v>
      </c>
      <c r="B29" s="7">
        <v>0.14169999999999999</v>
      </c>
      <c r="C29" s="7">
        <v>1.2574000000000001</v>
      </c>
      <c r="D29" s="7">
        <v>0.91639999999999999</v>
      </c>
    </row>
    <row r="30" spans="1:13" x14ac:dyDescent="0.3">
      <c r="B30" s="7">
        <v>0.1416</v>
      </c>
      <c r="C30" s="7">
        <v>1.3454999999999999</v>
      </c>
      <c r="D30" s="7">
        <v>0.8548</v>
      </c>
    </row>
    <row r="31" spans="1:13" x14ac:dyDescent="0.3">
      <c r="B31" s="7">
        <v>0.14549999999999999</v>
      </c>
      <c r="C31" s="7">
        <v>1.327</v>
      </c>
      <c r="D31" s="7">
        <v>0.81310000000000004</v>
      </c>
    </row>
    <row r="32" spans="1:13" x14ac:dyDescent="0.3">
      <c r="B32" s="7">
        <f>AVERAGE(B29:B31)</f>
        <v>0.14293333333333333</v>
      </c>
    </row>
    <row r="33" spans="1:18" x14ac:dyDescent="0.3">
      <c r="A33" s="7" t="s">
        <v>69</v>
      </c>
      <c r="C33" s="9">
        <f>C29-$B$32</f>
        <v>1.1144666666666667</v>
      </c>
      <c r="D33" s="9">
        <f>D29-$B$32</f>
        <v>0.77346666666666664</v>
      </c>
    </row>
    <row r="34" spans="1:18" x14ac:dyDescent="0.3">
      <c r="C34" s="9">
        <f t="shared" ref="C34:D35" si="3">C30-$B$32</f>
        <v>1.2025666666666666</v>
      </c>
      <c r="D34" s="9">
        <f t="shared" si="3"/>
        <v>0.71186666666666665</v>
      </c>
    </row>
    <row r="35" spans="1:18" x14ac:dyDescent="0.3">
      <c r="C35" s="9">
        <f t="shared" si="3"/>
        <v>1.1840666666666666</v>
      </c>
      <c r="D35" s="9">
        <f t="shared" si="3"/>
        <v>0.67016666666666669</v>
      </c>
    </row>
    <row r="37" spans="1:18" x14ac:dyDescent="0.3">
      <c r="B37" s="7" t="s">
        <v>68</v>
      </c>
      <c r="C37" s="22" t="s">
        <v>45</v>
      </c>
      <c r="D37" s="22"/>
      <c r="E37" s="22"/>
      <c r="F37" s="22" t="s">
        <v>66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8" x14ac:dyDescent="0.3">
      <c r="B38" s="7" t="s">
        <v>67</v>
      </c>
      <c r="C38" s="10">
        <f>C6</f>
        <v>0.32189999999999996</v>
      </c>
      <c r="D38" s="10">
        <f>C7</f>
        <v>0.29389999999999994</v>
      </c>
      <c r="E38" s="10">
        <f>C8</f>
        <v>0.2782</v>
      </c>
      <c r="F38" s="10">
        <f>D6</f>
        <v>0.28259999999999996</v>
      </c>
      <c r="G38" s="10">
        <f>D7</f>
        <v>0.31899999999999995</v>
      </c>
      <c r="H38" s="10">
        <f>D8</f>
        <v>0.3075</v>
      </c>
      <c r="I38" s="11"/>
      <c r="J38" s="11"/>
      <c r="K38" s="11"/>
      <c r="L38" s="11"/>
      <c r="M38" s="11"/>
      <c r="N38" s="11"/>
      <c r="O38" s="11"/>
      <c r="P38" s="11"/>
      <c r="Q38" s="11"/>
      <c r="R38" s="12"/>
    </row>
    <row r="39" spans="1:18" x14ac:dyDescent="0.3">
      <c r="B39" s="7" t="s">
        <v>70</v>
      </c>
      <c r="C39" s="10">
        <f>C15</f>
        <v>0.56730000000000003</v>
      </c>
      <c r="D39" s="10">
        <f>C16</f>
        <v>0.56069999999999998</v>
      </c>
      <c r="E39" s="10">
        <f>C17</f>
        <v>0.58140000000000003</v>
      </c>
      <c r="F39" s="10">
        <f>D15</f>
        <v>0.51219999999999999</v>
      </c>
      <c r="G39" s="10">
        <f>D16</f>
        <v>0.42690000000000006</v>
      </c>
      <c r="H39" s="10">
        <f>D17</f>
        <v>0.47970000000000002</v>
      </c>
      <c r="I39" s="11"/>
      <c r="J39" s="11"/>
      <c r="K39" s="11"/>
      <c r="L39" s="11"/>
      <c r="M39" s="11"/>
      <c r="N39" s="11"/>
      <c r="O39" s="11"/>
      <c r="P39" s="11"/>
      <c r="Q39" s="11"/>
      <c r="R39" s="12"/>
    </row>
    <row r="40" spans="1:18" x14ac:dyDescent="0.3">
      <c r="B40" s="7" t="s">
        <v>73</v>
      </c>
      <c r="C40" s="10">
        <f>C24</f>
        <v>0.8414666666666667</v>
      </c>
      <c r="D40" s="10">
        <f>C25</f>
        <v>0.72866666666666668</v>
      </c>
      <c r="E40" s="10">
        <f>C26</f>
        <v>0.79256666666666675</v>
      </c>
      <c r="F40" s="10">
        <f>D24</f>
        <v>0.53876666666666673</v>
      </c>
      <c r="G40" s="10">
        <f>D25</f>
        <v>0.63326666666666676</v>
      </c>
      <c r="H40" s="10">
        <f>D26</f>
        <v>0.60476666666666667</v>
      </c>
      <c r="I40" s="11"/>
      <c r="J40" s="11"/>
      <c r="K40" s="11"/>
      <c r="L40" s="11"/>
      <c r="M40" s="11"/>
      <c r="N40" s="11"/>
      <c r="O40" s="11"/>
      <c r="P40" s="11"/>
      <c r="Q40" s="11"/>
      <c r="R40" s="12"/>
    </row>
    <row r="41" spans="1:18" x14ac:dyDescent="0.3">
      <c r="B41" s="7" t="s">
        <v>74</v>
      </c>
      <c r="C41" s="10">
        <f>C33</f>
        <v>1.1144666666666667</v>
      </c>
      <c r="D41" s="10">
        <f>C34</f>
        <v>1.2025666666666666</v>
      </c>
      <c r="E41" s="10">
        <f>C35</f>
        <v>1.1840666666666666</v>
      </c>
      <c r="F41" s="10">
        <f>D33</f>
        <v>0.77346666666666664</v>
      </c>
      <c r="G41" s="10">
        <f>D34</f>
        <v>0.71186666666666665</v>
      </c>
      <c r="H41" s="10">
        <f>D35</f>
        <v>0.67016666666666669</v>
      </c>
      <c r="I41" s="11"/>
      <c r="J41" s="11"/>
      <c r="K41" s="11"/>
      <c r="L41" s="11"/>
      <c r="M41" s="11"/>
      <c r="N41" s="11"/>
      <c r="O41" s="11"/>
      <c r="P41" s="11"/>
      <c r="Q41" s="11"/>
      <c r="R41" s="12"/>
    </row>
    <row r="42" spans="1:18" x14ac:dyDescent="0.3">
      <c r="R42" s="12"/>
    </row>
    <row r="43" spans="1:18" x14ac:dyDescent="0.3">
      <c r="R43" s="12"/>
    </row>
    <row r="44" spans="1:18" x14ac:dyDescent="0.3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</sheetData>
  <mergeCells count="9">
    <mergeCell ref="O37:Q37"/>
    <mergeCell ref="C44:E44"/>
    <mergeCell ref="F44:H44"/>
    <mergeCell ref="I44:K44"/>
    <mergeCell ref="L44:N44"/>
    <mergeCell ref="C37:E37"/>
    <mergeCell ref="F37:H37"/>
    <mergeCell ref="I37:K37"/>
    <mergeCell ref="L37:N3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B84-6700-44EC-86FF-54B13AAE903F}">
  <dimension ref="A1:M13"/>
  <sheetViews>
    <sheetView tabSelected="1" zoomScale="120" zoomScaleNormal="120" workbookViewId="0">
      <selection activeCell="G20" sqref="G20"/>
    </sheetView>
  </sheetViews>
  <sheetFormatPr defaultColWidth="9" defaultRowHeight="14" x14ac:dyDescent="0.3"/>
  <cols>
    <col min="1" max="1" width="9" style="13"/>
    <col min="2" max="13" width="7.5" style="13" bestFit="1" customWidth="1"/>
    <col min="14" max="16384" width="9" style="13"/>
  </cols>
  <sheetData>
    <row r="1" spans="1:13" x14ac:dyDescent="0.3">
      <c r="A1" s="13" t="s">
        <v>59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3">
      <c r="A2" s="13" t="s">
        <v>75</v>
      </c>
      <c r="B2" s="13">
        <v>4.0899999999999999E-2</v>
      </c>
      <c r="C2" s="13">
        <v>4.1500000000000002E-2</v>
      </c>
      <c r="D2" s="13">
        <v>4.5600000000000002E-2</v>
      </c>
      <c r="E2" s="13">
        <v>4.0300000000000002E-2</v>
      </c>
      <c r="F2" s="13">
        <v>4.6100000000000002E-2</v>
      </c>
      <c r="G2" s="13">
        <v>4.3200000000000002E-2</v>
      </c>
      <c r="H2" s="13">
        <v>4.7100000000000003E-2</v>
      </c>
      <c r="I2" s="13">
        <v>4.3799999999999999E-2</v>
      </c>
      <c r="J2" s="13">
        <v>4.2700000000000002E-2</v>
      </c>
      <c r="K2" s="13">
        <v>4.2700000000000002E-2</v>
      </c>
      <c r="L2" s="13">
        <v>4.1200000000000001E-2</v>
      </c>
      <c r="M2" s="13">
        <v>4.3799999999999999E-2</v>
      </c>
    </row>
    <row r="3" spans="1:13" x14ac:dyDescent="0.3">
      <c r="A3" s="13" t="s">
        <v>76</v>
      </c>
      <c r="B3" s="13">
        <v>4.1599999999999998E-2</v>
      </c>
      <c r="C3" s="13">
        <v>4.0800000000000003E-2</v>
      </c>
      <c r="D3" s="13">
        <v>4.1799999999999997E-2</v>
      </c>
      <c r="E3" s="19">
        <v>0.1401</v>
      </c>
      <c r="F3" s="19">
        <v>0.46460000000000001</v>
      </c>
      <c r="G3" s="19">
        <v>0.42530000000000001</v>
      </c>
      <c r="H3" s="20">
        <v>0.14080000000000001</v>
      </c>
      <c r="I3" s="20">
        <v>0.7127</v>
      </c>
      <c r="J3" s="20">
        <v>0.65759999999999996</v>
      </c>
      <c r="K3" s="13">
        <v>4.7800000000000002E-2</v>
      </c>
      <c r="L3" s="13">
        <v>4.2200000000000001E-2</v>
      </c>
      <c r="M3" s="13">
        <v>4.19E-2</v>
      </c>
    </row>
    <row r="4" spans="1:13" x14ac:dyDescent="0.3">
      <c r="A4" s="13" t="s">
        <v>77</v>
      </c>
      <c r="B4" s="13">
        <v>4.4600000000000001E-2</v>
      </c>
      <c r="C4" s="13">
        <v>4.7300000000000002E-2</v>
      </c>
      <c r="D4" s="13">
        <v>4.1300000000000003E-2</v>
      </c>
      <c r="E4" s="19">
        <v>0.14760000000000001</v>
      </c>
      <c r="F4" s="19">
        <v>0.43659999999999999</v>
      </c>
      <c r="G4" s="19">
        <v>0.4617</v>
      </c>
      <c r="H4" s="20">
        <v>0.1479</v>
      </c>
      <c r="I4" s="20">
        <v>0.70609999999999995</v>
      </c>
      <c r="J4" s="20">
        <v>0.57230000000000003</v>
      </c>
      <c r="K4" s="13">
        <v>4.7500000000000001E-2</v>
      </c>
      <c r="L4" s="13">
        <v>4.7399999999999998E-2</v>
      </c>
      <c r="M4" s="13">
        <v>4.0300000000000002E-2</v>
      </c>
    </row>
    <row r="5" spans="1:13" x14ac:dyDescent="0.3">
      <c r="A5" s="13" t="s">
        <v>78</v>
      </c>
      <c r="B5" s="13">
        <v>4.2000000000000003E-2</v>
      </c>
      <c r="C5" s="13">
        <v>4.2299999999999997E-2</v>
      </c>
      <c r="D5" s="13">
        <v>4.3400000000000001E-2</v>
      </c>
      <c r="E5" s="19">
        <v>0.1404</v>
      </c>
      <c r="F5" s="19">
        <v>0.4209</v>
      </c>
      <c r="G5" s="19">
        <v>0.45019999999999999</v>
      </c>
      <c r="H5" s="20">
        <v>0.14749999999999999</v>
      </c>
      <c r="I5" s="20">
        <v>0.7268</v>
      </c>
      <c r="J5" s="20">
        <v>0.62509999999999999</v>
      </c>
      <c r="K5" s="13">
        <v>4.7199999999999999E-2</v>
      </c>
      <c r="L5" s="13">
        <v>4.0300000000000002E-2</v>
      </c>
      <c r="M5" s="13">
        <v>4.3099999999999999E-2</v>
      </c>
    </row>
    <row r="6" spans="1:13" x14ac:dyDescent="0.3">
      <c r="A6" s="13" t="s">
        <v>79</v>
      </c>
      <c r="B6" s="13">
        <v>4.4400000000000002E-2</v>
      </c>
      <c r="C6" s="13">
        <v>4.6600000000000003E-2</v>
      </c>
      <c r="D6" s="13">
        <v>4.7600000000000003E-2</v>
      </c>
      <c r="E6" s="20">
        <v>0.14019999999999999</v>
      </c>
      <c r="F6" s="20">
        <v>0.98299999999999998</v>
      </c>
      <c r="G6" s="20">
        <v>0.68030000000000002</v>
      </c>
      <c r="H6" s="19">
        <v>0.14169999999999999</v>
      </c>
      <c r="I6" s="19">
        <v>1.2574000000000001</v>
      </c>
      <c r="J6" s="19">
        <v>0.91639999999999999</v>
      </c>
      <c r="K6" s="13">
        <v>4.0399999999999998E-2</v>
      </c>
      <c r="L6" s="13">
        <v>4.7100000000000003E-2</v>
      </c>
      <c r="M6" s="13">
        <v>4.7300000000000002E-2</v>
      </c>
    </row>
    <row r="7" spans="1:13" x14ac:dyDescent="0.3">
      <c r="A7" s="13" t="s">
        <v>80</v>
      </c>
      <c r="B7" s="13">
        <v>4.3299999999999998E-2</v>
      </c>
      <c r="C7" s="13">
        <v>4.0800000000000003E-2</v>
      </c>
      <c r="D7" s="13">
        <v>4.1500000000000002E-2</v>
      </c>
      <c r="E7" s="20">
        <v>0.1431</v>
      </c>
      <c r="F7" s="20">
        <v>0.87019999999999997</v>
      </c>
      <c r="G7" s="20">
        <v>0.77480000000000004</v>
      </c>
      <c r="H7" s="19">
        <v>0.1416</v>
      </c>
      <c r="I7" s="19">
        <v>1.3454999999999999</v>
      </c>
      <c r="J7" s="19">
        <v>0.8548</v>
      </c>
      <c r="K7" s="13">
        <v>4.3099999999999999E-2</v>
      </c>
      <c r="L7" s="13">
        <v>4.4499999999999998E-2</v>
      </c>
      <c r="M7" s="13">
        <v>4.0399999999999998E-2</v>
      </c>
    </row>
    <row r="8" spans="1:13" x14ac:dyDescent="0.3">
      <c r="A8" s="13" t="s">
        <v>81</v>
      </c>
      <c r="B8" s="13">
        <v>4.5699999999999998E-2</v>
      </c>
      <c r="C8" s="13">
        <v>4.65E-2</v>
      </c>
      <c r="D8" s="13">
        <v>4.3700000000000003E-2</v>
      </c>
      <c r="E8" s="20">
        <v>0.14130000000000001</v>
      </c>
      <c r="F8" s="20">
        <v>0.93410000000000004</v>
      </c>
      <c r="G8" s="20">
        <v>0.74629999999999996</v>
      </c>
      <c r="H8" s="19">
        <v>0.14549999999999999</v>
      </c>
      <c r="I8" s="19">
        <v>1.327</v>
      </c>
      <c r="J8" s="19">
        <v>0.81310000000000004</v>
      </c>
      <c r="K8" s="13">
        <v>4.0399999999999998E-2</v>
      </c>
      <c r="L8" s="13">
        <v>4.0899999999999999E-2</v>
      </c>
      <c r="M8" s="13">
        <v>4.4200000000000003E-2</v>
      </c>
    </row>
    <row r="9" spans="1:13" x14ac:dyDescent="0.3">
      <c r="A9" s="13" t="s">
        <v>82</v>
      </c>
      <c r="B9" s="13">
        <v>4.5999999999999999E-2</v>
      </c>
      <c r="C9" s="13">
        <v>4.4600000000000001E-2</v>
      </c>
      <c r="D9" s="13">
        <v>4.7399999999999998E-2</v>
      </c>
      <c r="E9" s="13">
        <v>4.7899999999999998E-2</v>
      </c>
      <c r="F9" s="13">
        <v>4.0599999999999997E-2</v>
      </c>
      <c r="G9" s="13">
        <v>4.5400000000000003E-2</v>
      </c>
      <c r="H9" s="13">
        <v>4.41E-2</v>
      </c>
      <c r="I9" s="13">
        <v>4.3200000000000002E-2</v>
      </c>
      <c r="J9" s="13">
        <v>4.4200000000000003E-2</v>
      </c>
      <c r="K9" s="13">
        <v>4.5100000000000001E-2</v>
      </c>
      <c r="L9" s="13">
        <v>4.4400000000000002E-2</v>
      </c>
      <c r="M9" s="13">
        <v>4.2700000000000002E-2</v>
      </c>
    </row>
    <row r="11" spans="1:13" x14ac:dyDescent="0.3">
      <c r="E11" s="13" t="s">
        <v>83</v>
      </c>
      <c r="F11" s="14" t="s">
        <v>84</v>
      </c>
      <c r="G11" s="14" t="s">
        <v>66</v>
      </c>
      <c r="H11" s="13" t="s">
        <v>83</v>
      </c>
      <c r="I11" s="14" t="s">
        <v>84</v>
      </c>
      <c r="J11" s="14" t="s">
        <v>66</v>
      </c>
      <c r="L11" s="14"/>
      <c r="M11" s="14"/>
    </row>
    <row r="12" spans="1:13" x14ac:dyDescent="0.3">
      <c r="E12" s="23" t="s">
        <v>67</v>
      </c>
      <c r="F12" s="23"/>
      <c r="G12" s="23"/>
      <c r="H12" s="23" t="s">
        <v>70</v>
      </c>
      <c r="I12" s="23"/>
      <c r="J12" s="23"/>
    </row>
    <row r="13" spans="1:13" x14ac:dyDescent="0.3">
      <c r="E13" s="23" t="s">
        <v>71</v>
      </c>
      <c r="F13" s="23"/>
      <c r="G13" s="23"/>
      <c r="H13" s="23" t="s">
        <v>72</v>
      </c>
      <c r="I13" s="23"/>
      <c r="J13" s="23"/>
    </row>
  </sheetData>
  <mergeCells count="4">
    <mergeCell ref="E12:G12"/>
    <mergeCell ref="H12:J12"/>
    <mergeCell ref="E13:G13"/>
    <mergeCell ref="H13:J1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6A8A-6AB1-4DAE-9E7D-6758C27A9B75}">
  <dimension ref="A1:M8"/>
  <sheetViews>
    <sheetView workbookViewId="0">
      <selection sqref="A1:J7"/>
    </sheetView>
  </sheetViews>
  <sheetFormatPr defaultRowHeight="14" x14ac:dyDescent="0.3"/>
  <cols>
    <col min="6" max="6" width="13.08203125" bestFit="1" customWidth="1"/>
  </cols>
  <sheetData>
    <row r="1" spans="1:13" x14ac:dyDescent="0.3">
      <c r="A1" t="s">
        <v>84</v>
      </c>
      <c r="B1" t="s">
        <v>85</v>
      </c>
      <c r="D1" t="s">
        <v>86</v>
      </c>
      <c r="F1" s="6" t="s">
        <v>66</v>
      </c>
      <c r="G1" t="s">
        <v>85</v>
      </c>
      <c r="I1" t="s">
        <v>86</v>
      </c>
    </row>
    <row r="2" spans="1:13" x14ac:dyDescent="0.3">
      <c r="A2">
        <v>1</v>
      </c>
      <c r="B2">
        <v>1044810</v>
      </c>
      <c r="C2">
        <f>AVERAGE(B2:B4)</f>
        <v>1017831</v>
      </c>
      <c r="F2">
        <v>1</v>
      </c>
      <c r="G2">
        <v>975405</v>
      </c>
      <c r="H2">
        <f>G2/G2</f>
        <v>1</v>
      </c>
      <c r="J2">
        <f>AVERAGE(G2:G4)</f>
        <v>974125.33333333337</v>
      </c>
    </row>
    <row r="3" spans="1:13" x14ac:dyDescent="0.3">
      <c r="A3">
        <v>1</v>
      </c>
      <c r="B3">
        <v>1110241</v>
      </c>
      <c r="F3">
        <v>1</v>
      </c>
      <c r="G3">
        <v>914920</v>
      </c>
      <c r="H3">
        <f t="shared" ref="H3:H4" si="0">G3/G3</f>
        <v>1</v>
      </c>
    </row>
    <row r="4" spans="1:13" x14ac:dyDescent="0.3">
      <c r="A4">
        <v>1</v>
      </c>
      <c r="B4">
        <v>898442</v>
      </c>
      <c r="F4">
        <v>1</v>
      </c>
      <c r="G4">
        <v>1032051</v>
      </c>
      <c r="H4">
        <f t="shared" si="0"/>
        <v>1</v>
      </c>
    </row>
    <row r="5" spans="1:13" x14ac:dyDescent="0.3">
      <c r="A5">
        <v>1</v>
      </c>
      <c r="B5">
        <v>683736</v>
      </c>
      <c r="C5" s="15">
        <f>B5/C2</f>
        <v>0.67175788514989232</v>
      </c>
      <c r="D5" s="16">
        <f>1-C5</f>
        <v>0.32824211485010768</v>
      </c>
      <c r="F5">
        <v>1</v>
      </c>
      <c r="G5">
        <v>840396</v>
      </c>
      <c r="H5" s="15">
        <f>G5/J2</f>
        <v>0.86271855503877659</v>
      </c>
      <c r="I5" s="16">
        <f>1-H5</f>
        <v>0.13728144496122341</v>
      </c>
    </row>
    <row r="6" spans="1:13" x14ac:dyDescent="0.3">
      <c r="A6">
        <v>1</v>
      </c>
      <c r="B6">
        <v>711478</v>
      </c>
      <c r="C6" s="15">
        <f>B6/C2</f>
        <v>0.6990138834443046</v>
      </c>
      <c r="D6" s="16">
        <f t="shared" ref="D6:D7" si="1">1-C6</f>
        <v>0.3009861165556954</v>
      </c>
      <c r="F6">
        <v>1</v>
      </c>
      <c r="G6">
        <v>890114</v>
      </c>
      <c r="H6" s="15">
        <f>G6/J2</f>
        <v>0.91375716198052537</v>
      </c>
      <c r="I6" s="16">
        <f t="shared" ref="I6:I7" si="2">1-H6</f>
        <v>8.6242838019474632E-2</v>
      </c>
    </row>
    <row r="7" spans="1:13" x14ac:dyDescent="0.3">
      <c r="A7">
        <v>1</v>
      </c>
      <c r="B7">
        <v>685289</v>
      </c>
      <c r="C7" s="15">
        <f>B7/C2</f>
        <v>0.67328367872466055</v>
      </c>
      <c r="D7" s="16">
        <f t="shared" si="1"/>
        <v>0.32671632127533945</v>
      </c>
      <c r="F7">
        <v>1</v>
      </c>
      <c r="G7">
        <v>877025</v>
      </c>
      <c r="H7" s="15">
        <f>G7/J2</f>
        <v>0.90032049264023517</v>
      </c>
      <c r="I7" s="16">
        <f t="shared" si="2"/>
        <v>9.967950735976483E-2</v>
      </c>
    </row>
    <row r="8" spans="1:13" x14ac:dyDescent="0.3">
      <c r="M8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06CA-66C8-4287-B453-A3832D4D95BD}">
  <dimension ref="A1:E4"/>
  <sheetViews>
    <sheetView workbookViewId="0">
      <selection activeCell="I27" sqref="I27"/>
    </sheetView>
  </sheetViews>
  <sheetFormatPr defaultRowHeight="14" x14ac:dyDescent="0.3"/>
  <cols>
    <col min="1" max="1" width="11.75" bestFit="1" customWidth="1"/>
    <col min="4" max="4" width="13.08203125" bestFit="1" customWidth="1"/>
  </cols>
  <sheetData>
    <row r="1" spans="1:5" ht="15.5" x14ac:dyDescent="0.3">
      <c r="A1" s="17" t="s">
        <v>59</v>
      </c>
      <c r="C1" s="6" t="s">
        <v>84</v>
      </c>
      <c r="D1" s="6" t="s">
        <v>66</v>
      </c>
      <c r="E1" s="6"/>
    </row>
    <row r="2" spans="1:5" x14ac:dyDescent="0.3">
      <c r="B2" s="6" t="s">
        <v>87</v>
      </c>
      <c r="C2" s="18">
        <v>221</v>
      </c>
      <c r="D2" s="18">
        <v>106</v>
      </c>
      <c r="E2" s="6"/>
    </row>
    <row r="3" spans="1:5" x14ac:dyDescent="0.3">
      <c r="B3" s="6"/>
      <c r="C3" s="18">
        <v>263</v>
      </c>
      <c r="D3" s="18">
        <v>81</v>
      </c>
      <c r="E3" s="6"/>
    </row>
    <row r="4" spans="1:5" x14ac:dyDescent="0.3">
      <c r="B4" s="6"/>
      <c r="C4" s="18">
        <v>258</v>
      </c>
      <c r="D4" s="18">
        <v>92</v>
      </c>
      <c r="E4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result_A</vt:lpstr>
      <vt:lpstr>raw data_A</vt:lpstr>
      <vt:lpstr>result_B</vt:lpstr>
      <vt:lpstr>raw data_B</vt:lpstr>
      <vt:lpstr>CCK8 result_C</vt:lpstr>
      <vt:lpstr>CCK8 raw data_C</vt:lpstr>
      <vt:lpstr>wound_D</vt:lpstr>
      <vt:lpstr>invasion_E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</cp:lastModifiedBy>
  <dcterms:created xsi:type="dcterms:W3CDTF">2015-06-05T18:19:34Z</dcterms:created>
  <dcterms:modified xsi:type="dcterms:W3CDTF">2026-06-22T02:36:01Z</dcterms:modified>
</cp:coreProperties>
</file>